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ydun\git\mtg-league\"/>
    </mc:Choice>
  </mc:AlternateContent>
  <xr:revisionPtr revIDLastSave="0" documentId="13_ncr:1_{1C6B38BE-1580-453B-8329-B4567D9A9E1E}" xr6:coauthVersionLast="47" xr6:coauthVersionMax="47" xr10:uidLastSave="{00000000-0000-0000-0000-000000000000}"/>
  <bookViews>
    <workbookView xWindow="-108" yWindow="-108" windowWidth="41496" windowHeight="16896" xr2:uid="{407BD837-C523-403D-82DC-18664A763B9F}"/>
  </bookViews>
  <sheets>
    <sheet name="Data-Source" sheetId="4" r:id="rId1"/>
    <sheet name="Week71" sheetId="2" r:id="rId2"/>
    <sheet name="Week72" sheetId="1" r:id="rId3"/>
  </sheets>
  <externalReferences>
    <externalReference r:id="rId4"/>
  </externalReferences>
  <definedNames>
    <definedName name="ChartReqDeck">'Data-Source'!$I$3</definedName>
    <definedName name="ChartReqPlayer">'Data-Source'!$I$2</definedName>
    <definedName name="Entry">'Data-Source'!$L$2</definedName>
    <definedName name="EventCut">'Data-Source'!$L$4</definedName>
    <definedName name="SSBonus">'Data-Source'!$L$3</definedName>
    <definedName name="TotalWeeksMax">'Data-Source'!$I$18</definedName>
    <definedName name="TournamentsRecorded">[1]ChartData!$W$5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8" i="2" l="1"/>
  <c r="AC68" i="2"/>
  <c r="AB68" i="2"/>
  <c r="AA68" i="2"/>
  <c r="AA68" i="2" a="1"/>
  <c r="AD67" i="2"/>
  <c r="AC67" i="2"/>
  <c r="AB67" i="2"/>
  <c r="AA67" i="2" a="1"/>
  <c r="AA67" i="2" s="1"/>
  <c r="AD66" i="2"/>
  <c r="AC66" i="2"/>
  <c r="AB66" i="2"/>
  <c r="AA66" i="2"/>
  <c r="AA66" i="2" a="1"/>
  <c r="AD65" i="2"/>
  <c r="AC65" i="2"/>
  <c r="AB65" i="2"/>
  <c r="AA65" i="2" a="1"/>
  <c r="AA65" i="2" s="1"/>
  <c r="AD64" i="2"/>
  <c r="AC64" i="2"/>
  <c r="AB64" i="2"/>
  <c r="AA64" i="2"/>
  <c r="AA64" i="2" a="1"/>
  <c r="AD63" i="2"/>
  <c r="AC63" i="2"/>
  <c r="AB63" i="2"/>
  <c r="AA63" i="2" a="1"/>
  <c r="AA63" i="2" s="1"/>
  <c r="AD62" i="2"/>
  <c r="AC62" i="2"/>
  <c r="AB62" i="2"/>
  <c r="AA62" i="2"/>
  <c r="AA62" i="2" a="1"/>
  <c r="AD61" i="2"/>
  <c r="AC61" i="2"/>
  <c r="AB61" i="2"/>
  <c r="AA61" i="2" a="1"/>
  <c r="AA61" i="2" s="1"/>
  <c r="AD60" i="2"/>
  <c r="AC60" i="2"/>
  <c r="AB60" i="2"/>
  <c r="AA60" i="2"/>
  <c r="AA60" i="2" a="1"/>
  <c r="AD59" i="2"/>
  <c r="AC59" i="2"/>
  <c r="AB59" i="2"/>
  <c r="AA59" i="2" a="1"/>
  <c r="AA59" i="2" s="1"/>
  <c r="AD58" i="2"/>
  <c r="AC58" i="2"/>
  <c r="AB58" i="2"/>
  <c r="AA58" i="2"/>
  <c r="AA58" i="2" a="1"/>
  <c r="AD57" i="2"/>
  <c r="AC57" i="2"/>
  <c r="AB57" i="2"/>
  <c r="AA57" i="2" a="1"/>
  <c r="AA57" i="2" s="1"/>
  <c r="AD56" i="2"/>
  <c r="AC56" i="2"/>
  <c r="AB56" i="2"/>
  <c r="AA56" i="2"/>
  <c r="AA56" i="2" a="1"/>
  <c r="AD55" i="2"/>
  <c r="AC55" i="2"/>
  <c r="AB55" i="2"/>
  <c r="AA55" i="2" a="1"/>
  <c r="AA55" i="2" s="1"/>
  <c r="AD54" i="2"/>
  <c r="AC54" i="2"/>
  <c r="AB54" i="2"/>
  <c r="AA54" i="2"/>
  <c r="AA54" i="2" a="1"/>
  <c r="AD53" i="2"/>
  <c r="AC53" i="2"/>
  <c r="AB53" i="2"/>
  <c r="AA53" i="2" a="1"/>
  <c r="AA53" i="2" s="1"/>
  <c r="AD52" i="2"/>
  <c r="AC52" i="2"/>
  <c r="AB52" i="2"/>
  <c r="AA52" i="2"/>
  <c r="AA52" i="2" a="1"/>
  <c r="AD51" i="2"/>
  <c r="AC51" i="2"/>
  <c r="AB51" i="2"/>
  <c r="AA51" i="2" a="1"/>
  <c r="AA51" i="2" s="1"/>
  <c r="AD50" i="2"/>
  <c r="AC50" i="2"/>
  <c r="AB50" i="2"/>
  <c r="AA50" i="2"/>
  <c r="AA50" i="2" a="1"/>
  <c r="AD49" i="2"/>
  <c r="AC49" i="2"/>
  <c r="AB49" i="2"/>
  <c r="AA49" i="2" a="1"/>
  <c r="AA49" i="2" s="1"/>
  <c r="AD48" i="2"/>
  <c r="AC48" i="2"/>
  <c r="AB48" i="2"/>
  <c r="AA48" i="2"/>
  <c r="AA48" i="2" a="1"/>
  <c r="AD47" i="2"/>
  <c r="AC47" i="2"/>
  <c r="AB47" i="2"/>
  <c r="AA47" i="2" a="1"/>
  <c r="AA47" i="2" s="1"/>
  <c r="AD46" i="2"/>
  <c r="AC46" i="2"/>
  <c r="AB46" i="2"/>
  <c r="AA46" i="2"/>
  <c r="AA46" i="2" a="1"/>
  <c r="AD45" i="2"/>
  <c r="AC45" i="2"/>
  <c r="AB45" i="2"/>
  <c r="AA45" i="2" a="1"/>
  <c r="AA45" i="2" s="1"/>
  <c r="AD44" i="2"/>
  <c r="AC44" i="2"/>
  <c r="AB44" i="2"/>
  <c r="AA44" i="2"/>
  <c r="AA44" i="2" a="1"/>
  <c r="AD43" i="2"/>
  <c r="AC43" i="2"/>
  <c r="AB43" i="2"/>
  <c r="AA43" i="2" a="1"/>
  <c r="AA43" i="2" s="1"/>
  <c r="AD42" i="2"/>
  <c r="AC42" i="2"/>
  <c r="AB42" i="2"/>
  <c r="AA42" i="2"/>
  <c r="AA42" i="2" a="1"/>
  <c r="AD41" i="2"/>
  <c r="AC41" i="2"/>
  <c r="AB41" i="2"/>
  <c r="AA41" i="2" a="1"/>
  <c r="AA41" i="2" s="1"/>
  <c r="AD40" i="2"/>
  <c r="AC40" i="2"/>
  <c r="AB40" i="2"/>
  <c r="AA40" i="2"/>
  <c r="AA40" i="2" a="1"/>
  <c r="AD39" i="2"/>
  <c r="AC39" i="2"/>
  <c r="AB39" i="2"/>
  <c r="AA39" i="2" a="1"/>
  <c r="AA39" i="2" s="1"/>
  <c r="AD38" i="2"/>
  <c r="AC38" i="2"/>
  <c r="AB38" i="2"/>
  <c r="AA38" i="2"/>
  <c r="AA38" i="2" a="1"/>
  <c r="AD37" i="2"/>
  <c r="AC37" i="2"/>
  <c r="AB37" i="2"/>
  <c r="AA37" i="2" a="1"/>
  <c r="AA37" i="2" s="1"/>
  <c r="AD36" i="2"/>
  <c r="AC36" i="2"/>
  <c r="AB36" i="2"/>
  <c r="AA36" i="2"/>
  <c r="AA36" i="2" a="1"/>
  <c r="AD35" i="2"/>
  <c r="AC35" i="2"/>
  <c r="AB35" i="2"/>
  <c r="AA35" i="2" a="1"/>
  <c r="AA35" i="2" s="1"/>
  <c r="AD34" i="2"/>
  <c r="AC34" i="2"/>
  <c r="AB34" i="2"/>
  <c r="AA34" i="2"/>
  <c r="AA34" i="2" a="1"/>
  <c r="AD33" i="2"/>
  <c r="AC33" i="2"/>
  <c r="AB33" i="2"/>
  <c r="AA33" i="2" a="1"/>
  <c r="AA33" i="2" s="1"/>
  <c r="N33" i="2"/>
  <c r="M33" i="2" a="1"/>
  <c r="M33" i="2" s="1"/>
  <c r="L33" i="2"/>
  <c r="K33" i="2"/>
  <c r="K33" i="2" a="1"/>
  <c r="J33" i="2"/>
  <c r="I33" i="2"/>
  <c r="H33" i="2"/>
  <c r="G33" i="2"/>
  <c r="F33" i="2"/>
  <c r="E33" i="2"/>
  <c r="C33" i="2"/>
  <c r="AD32" i="2"/>
  <c r="AC32" i="2"/>
  <c r="AB32" i="2"/>
  <c r="AA32" i="2"/>
  <c r="AA32" i="2" a="1"/>
  <c r="N32" i="2"/>
  <c r="M32" i="2"/>
  <c r="M32" i="2" a="1"/>
  <c r="L32" i="2"/>
  <c r="K32" i="2" a="1"/>
  <c r="K32" i="2" s="1"/>
  <c r="J32" i="2"/>
  <c r="I32" i="2"/>
  <c r="H32" i="2"/>
  <c r="G32" i="2"/>
  <c r="F32" i="2"/>
  <c r="E32" i="2"/>
  <c r="C32" i="2"/>
  <c r="AD31" i="2"/>
  <c r="AC31" i="2"/>
  <c r="AB31" i="2"/>
  <c r="AA31" i="2" a="1"/>
  <c r="AA31" i="2" s="1"/>
  <c r="N31" i="2"/>
  <c r="M31" i="2"/>
  <c r="M31" i="2" a="1"/>
  <c r="L31" i="2"/>
  <c r="K31" i="2"/>
  <c r="K31" i="2" a="1"/>
  <c r="J31" i="2"/>
  <c r="I31" i="2"/>
  <c r="H31" i="2"/>
  <c r="G31" i="2"/>
  <c r="F31" i="2"/>
  <c r="E31" i="2"/>
  <c r="C31" i="2"/>
  <c r="AD30" i="2"/>
  <c r="AC30" i="2"/>
  <c r="AB30" i="2"/>
  <c r="AA30" i="2"/>
  <c r="AA30" i="2" a="1"/>
  <c r="N30" i="2"/>
  <c r="M30" i="2"/>
  <c r="M30" i="2" a="1"/>
  <c r="L30" i="2"/>
  <c r="K30" i="2" a="1"/>
  <c r="K30" i="2" s="1"/>
  <c r="J30" i="2"/>
  <c r="I30" i="2"/>
  <c r="H30" i="2"/>
  <c r="G30" i="2"/>
  <c r="F30" i="2"/>
  <c r="E30" i="2"/>
  <c r="C30" i="2"/>
  <c r="AD29" i="2"/>
  <c r="AC29" i="2"/>
  <c r="AB29" i="2"/>
  <c r="AA29" i="2"/>
  <c r="AA29" i="2" a="1"/>
  <c r="N29" i="2"/>
  <c r="M29" i="2" a="1"/>
  <c r="M29" i="2" s="1"/>
  <c r="L29" i="2"/>
  <c r="K29" i="2"/>
  <c r="K29" i="2" a="1"/>
  <c r="J29" i="2"/>
  <c r="I29" i="2"/>
  <c r="H29" i="2"/>
  <c r="G29" i="2"/>
  <c r="F29" i="2"/>
  <c r="E29" i="2"/>
  <c r="C29" i="2"/>
  <c r="AD28" i="2"/>
  <c r="AC28" i="2"/>
  <c r="AB28" i="2"/>
  <c r="AA28" i="2"/>
  <c r="AA28" i="2" a="1"/>
  <c r="N28" i="2"/>
  <c r="M28" i="2"/>
  <c r="M28" i="2" a="1"/>
  <c r="L28" i="2"/>
  <c r="K28" i="2"/>
  <c r="K28" i="2" a="1"/>
  <c r="J28" i="2"/>
  <c r="I28" i="2"/>
  <c r="H28" i="2"/>
  <c r="G28" i="2"/>
  <c r="F28" i="2"/>
  <c r="E28" i="2"/>
  <c r="C28" i="2"/>
  <c r="AD27" i="2"/>
  <c r="AC27" i="2"/>
  <c r="AB27" i="2"/>
  <c r="AA27" i="2" a="1"/>
  <c r="AA27" i="2" s="1"/>
  <c r="C7" i="2" s="1"/>
  <c r="N27" i="2"/>
  <c r="M27" i="2" a="1"/>
  <c r="M27" i="2" s="1"/>
  <c r="L27" i="2"/>
  <c r="K27" i="2"/>
  <c r="K27" i="2" a="1"/>
  <c r="J27" i="2"/>
  <c r="I27" i="2"/>
  <c r="H27" i="2"/>
  <c r="G27" i="2"/>
  <c r="F27" i="2"/>
  <c r="E27" i="2"/>
  <c r="C27" i="2"/>
  <c r="AD26" i="2"/>
  <c r="AC26" i="2"/>
  <c r="AB26" i="2"/>
  <c r="AA26" i="2"/>
  <c r="AA26" i="2" a="1"/>
  <c r="N26" i="2"/>
  <c r="M26" i="2"/>
  <c r="M26" i="2" a="1"/>
  <c r="L26" i="2"/>
  <c r="K26" i="2" a="1"/>
  <c r="K26" i="2" s="1"/>
  <c r="J26" i="2"/>
  <c r="I26" i="2"/>
  <c r="H26" i="2"/>
  <c r="G26" i="2"/>
  <c r="F26" i="2"/>
  <c r="E26" i="2"/>
  <c r="C26" i="2"/>
  <c r="AD25" i="2"/>
  <c r="AC25" i="2"/>
  <c r="AB25" i="2"/>
  <c r="AA25" i="2" a="1"/>
  <c r="AA25" i="2" s="1"/>
  <c r="N25" i="2"/>
  <c r="M25" i="2" a="1"/>
  <c r="M25" i="2" s="1"/>
  <c r="L25" i="2"/>
  <c r="K25" i="2"/>
  <c r="K25" i="2" a="1"/>
  <c r="J25" i="2"/>
  <c r="I25" i="2"/>
  <c r="H25" i="2"/>
  <c r="G25" i="2"/>
  <c r="F25" i="2"/>
  <c r="E25" i="2"/>
  <c r="C25" i="2"/>
  <c r="AD24" i="2"/>
  <c r="AC24" i="2"/>
  <c r="AB24" i="2"/>
  <c r="AA24" i="2"/>
  <c r="AA24" i="2" a="1"/>
  <c r="N24" i="2"/>
  <c r="M24" i="2"/>
  <c r="M24" i="2" a="1"/>
  <c r="L24" i="2"/>
  <c r="K24" i="2" a="1"/>
  <c r="K24" i="2" s="1"/>
  <c r="J24" i="2"/>
  <c r="I24" i="2"/>
  <c r="H24" i="2"/>
  <c r="G24" i="2"/>
  <c r="F24" i="2"/>
  <c r="E24" i="2"/>
  <c r="C24" i="2"/>
  <c r="AD23" i="2"/>
  <c r="AC23" i="2"/>
  <c r="AB23" i="2"/>
  <c r="AA23" i="2" a="1"/>
  <c r="AA23" i="2" s="1"/>
  <c r="C9" i="2" s="1"/>
  <c r="N23" i="2"/>
  <c r="M23" i="2"/>
  <c r="M23" i="2" a="1"/>
  <c r="L23" i="2"/>
  <c r="K23" i="2"/>
  <c r="K23" i="2" a="1"/>
  <c r="J23" i="2"/>
  <c r="I23" i="2"/>
  <c r="H23" i="2"/>
  <c r="G23" i="2"/>
  <c r="F23" i="2"/>
  <c r="E23" i="2"/>
  <c r="C23" i="2"/>
  <c r="AD22" i="2"/>
  <c r="AC22" i="2"/>
  <c r="AB22" i="2"/>
  <c r="AA22" i="2"/>
  <c r="AA22" i="2" a="1"/>
  <c r="N22" i="2"/>
  <c r="M22" i="2"/>
  <c r="M22" i="2" a="1"/>
  <c r="L22" i="2"/>
  <c r="K22" i="2" a="1"/>
  <c r="K22" i="2" s="1"/>
  <c r="J22" i="2"/>
  <c r="I22" i="2"/>
  <c r="H22" i="2"/>
  <c r="G22" i="2"/>
  <c r="F22" i="2"/>
  <c r="E22" i="2"/>
  <c r="C22" i="2"/>
  <c r="AD21" i="2"/>
  <c r="AC21" i="2"/>
  <c r="AB21" i="2"/>
  <c r="AA21" i="2"/>
  <c r="AA21" i="2" a="1"/>
  <c r="N21" i="2"/>
  <c r="M21" i="2" a="1"/>
  <c r="M21" i="2" s="1"/>
  <c r="L21" i="2"/>
  <c r="K21" i="2"/>
  <c r="K21" i="2" a="1"/>
  <c r="J21" i="2"/>
  <c r="I21" i="2"/>
  <c r="H21" i="2"/>
  <c r="G21" i="2"/>
  <c r="F21" i="2"/>
  <c r="E21" i="2"/>
  <c r="C21" i="2"/>
  <c r="AD20" i="2"/>
  <c r="AC20" i="2"/>
  <c r="AB20" i="2"/>
  <c r="AA20" i="2"/>
  <c r="AA20" i="2" a="1"/>
  <c r="N20" i="2"/>
  <c r="M20" i="2"/>
  <c r="M20" i="2" a="1"/>
  <c r="L20" i="2"/>
  <c r="K20" i="2"/>
  <c r="K20" i="2" a="1"/>
  <c r="J20" i="2"/>
  <c r="I20" i="2"/>
  <c r="H20" i="2"/>
  <c r="G20" i="2"/>
  <c r="F20" i="2"/>
  <c r="E20" i="2"/>
  <c r="C20" i="2"/>
  <c r="AD19" i="2"/>
  <c r="AC19" i="2"/>
  <c r="AB19" i="2"/>
  <c r="AA19" i="2" a="1"/>
  <c r="AA19" i="2" s="1"/>
  <c r="C2" i="2" s="1"/>
  <c r="N19" i="2"/>
  <c r="M19" i="2" a="1"/>
  <c r="M19" i="2" s="1"/>
  <c r="L19" i="2"/>
  <c r="K19" i="2"/>
  <c r="K19" i="2" a="1"/>
  <c r="J19" i="2"/>
  <c r="I19" i="2"/>
  <c r="H19" i="2"/>
  <c r="G19" i="2"/>
  <c r="F19" i="2"/>
  <c r="E19" i="2"/>
  <c r="C19" i="2"/>
  <c r="AD18" i="2"/>
  <c r="AC18" i="2"/>
  <c r="AB18" i="2"/>
  <c r="AA18" i="2"/>
  <c r="AA18" i="2" a="1"/>
  <c r="N18" i="2"/>
  <c r="M18" i="2"/>
  <c r="M18" i="2" a="1"/>
  <c r="L18" i="2"/>
  <c r="K18" i="2" a="1"/>
  <c r="K18" i="2" s="1"/>
  <c r="J18" i="2"/>
  <c r="I18" i="2"/>
  <c r="H18" i="2"/>
  <c r="G18" i="2"/>
  <c r="F18" i="2"/>
  <c r="E18" i="2"/>
  <c r="C18" i="2"/>
  <c r="AD17" i="2"/>
  <c r="AC17" i="2"/>
  <c r="AB17" i="2"/>
  <c r="AA17" i="2" a="1"/>
  <c r="AA17" i="2" s="1"/>
  <c r="N17" i="2"/>
  <c r="M17" i="2" a="1"/>
  <c r="M17" i="2" s="1"/>
  <c r="L17" i="2"/>
  <c r="K17" i="2"/>
  <c r="K17" i="2" a="1"/>
  <c r="J17" i="2"/>
  <c r="I17" i="2"/>
  <c r="H17" i="2"/>
  <c r="G17" i="2"/>
  <c r="F17" i="2"/>
  <c r="E17" i="2"/>
  <c r="C17" i="2"/>
  <c r="AD16" i="2"/>
  <c r="AC16" i="2"/>
  <c r="AB16" i="2"/>
  <c r="AA16" i="2"/>
  <c r="AA16" i="2" a="1"/>
  <c r="N16" i="2"/>
  <c r="M16" i="2"/>
  <c r="M16" i="2" a="1"/>
  <c r="L16" i="2"/>
  <c r="K16" i="2" a="1"/>
  <c r="K16" i="2" s="1"/>
  <c r="J16" i="2"/>
  <c r="I16" i="2"/>
  <c r="H16" i="2"/>
  <c r="G16" i="2"/>
  <c r="F16" i="2"/>
  <c r="E16" i="2"/>
  <c r="C16" i="2"/>
  <c r="AD15" i="2"/>
  <c r="AC15" i="2"/>
  <c r="AB15" i="2"/>
  <c r="AA15" i="2" a="1"/>
  <c r="AA15" i="2" s="1"/>
  <c r="C11" i="2" s="1"/>
  <c r="L15" i="2"/>
  <c r="I15" i="2"/>
  <c r="H15" i="2"/>
  <c r="AD14" i="2"/>
  <c r="AC14" i="2"/>
  <c r="AB14" i="2"/>
  <c r="AA14" i="2"/>
  <c r="AA14" i="2" a="1"/>
  <c r="L14" i="2"/>
  <c r="I14" i="2"/>
  <c r="H14" i="2"/>
  <c r="AD13" i="2"/>
  <c r="AC13" i="2"/>
  <c r="AB13" i="2"/>
  <c r="AA13" i="2"/>
  <c r="AA13" i="2" a="1"/>
  <c r="L13" i="2"/>
  <c r="M14" i="2" s="1" a="1"/>
  <c r="M14" i="2" s="1"/>
  <c r="I13" i="2"/>
  <c r="H13" i="2"/>
  <c r="AD12" i="2"/>
  <c r="AC12" i="2"/>
  <c r="AB12" i="2"/>
  <c r="AA12" i="2"/>
  <c r="AA12" i="2" a="1"/>
  <c r="L12" i="2"/>
  <c r="I12" i="2"/>
  <c r="H12" i="2"/>
  <c r="AD11" i="2"/>
  <c r="AC11" i="2"/>
  <c r="AB11" i="2"/>
  <c r="AA11" i="2" a="1"/>
  <c r="AA11" i="2" s="1"/>
  <c r="C4" i="2" s="1"/>
  <c r="L11" i="2"/>
  <c r="I11" i="2"/>
  <c r="H11" i="2"/>
  <c r="AD10" i="2"/>
  <c r="AC10" i="2"/>
  <c r="AB10" i="2"/>
  <c r="AA10" i="2"/>
  <c r="C13" i="2" s="1"/>
  <c r="AA10" i="2" a="1"/>
  <c r="M10" i="2" a="1"/>
  <c r="M10" i="2" s="1"/>
  <c r="L10" i="2"/>
  <c r="M11" i="2" s="1" a="1"/>
  <c r="M11" i="2" s="1"/>
  <c r="I10" i="2"/>
  <c r="H10" i="2"/>
  <c r="AD9" i="2"/>
  <c r="AC9" i="2"/>
  <c r="AB9" i="2"/>
  <c r="AA9" i="2"/>
  <c r="AA9" i="2" a="1"/>
  <c r="M9" i="2" a="1"/>
  <c r="M9" i="2" s="1"/>
  <c r="L9" i="2"/>
  <c r="I9" i="2"/>
  <c r="H9" i="2"/>
  <c r="AD8" i="2"/>
  <c r="AC8" i="2"/>
  <c r="AB8" i="2"/>
  <c r="AA8" i="2" a="1"/>
  <c r="AA8" i="2" s="1"/>
  <c r="C5" i="2" s="1"/>
  <c r="L8" i="2"/>
  <c r="I8" i="2"/>
  <c r="H8" i="2"/>
  <c r="AD7" i="2"/>
  <c r="AC7" i="2"/>
  <c r="AB7" i="2"/>
  <c r="AA7" i="2" a="1"/>
  <c r="AA7" i="2" s="1"/>
  <c r="M7" i="2" a="1"/>
  <c r="M7" i="2" s="1"/>
  <c r="L7" i="2"/>
  <c r="I7" i="2"/>
  <c r="H7" i="2"/>
  <c r="AD6" i="2"/>
  <c r="AC6" i="2"/>
  <c r="AB6" i="2"/>
  <c r="AA6" i="2"/>
  <c r="AA6" i="2" a="1"/>
  <c r="M6" i="2" a="1"/>
  <c r="M6" i="2" s="1"/>
  <c r="L6" i="2"/>
  <c r="I6" i="2"/>
  <c r="H6" i="2"/>
  <c r="C6" i="2"/>
  <c r="AD5" i="2"/>
  <c r="AC5" i="2"/>
  <c r="AB5" i="2"/>
  <c r="AA5" i="2"/>
  <c r="C14" i="2" s="1"/>
  <c r="AA5" i="2" a="1"/>
  <c r="M5" i="2" a="1"/>
  <c r="M5" i="2" s="1"/>
  <c r="L5" i="2"/>
  <c r="I5" i="2"/>
  <c r="H5" i="2"/>
  <c r="AD4" i="2"/>
  <c r="AC4" i="2"/>
  <c r="AB4" i="2"/>
  <c r="C15" i="2" s="1"/>
  <c r="AA4" i="2"/>
  <c r="AA4" i="2" a="1"/>
  <c r="M4" i="2" a="1"/>
  <c r="M4" i="2" s="1"/>
  <c r="L4" i="2"/>
  <c r="M15" i="2" s="1" a="1"/>
  <c r="M15" i="2" s="1"/>
  <c r="I4" i="2"/>
  <c r="H4" i="2"/>
  <c r="AD3" i="2"/>
  <c r="AC3" i="2"/>
  <c r="AB3" i="2"/>
  <c r="AA3" i="2"/>
  <c r="C12" i="2" s="1"/>
  <c r="AA3" i="2" a="1"/>
  <c r="M3" i="2" a="1"/>
  <c r="M3" i="2" s="1"/>
  <c r="L3" i="2"/>
  <c r="M13" i="2" s="1" a="1"/>
  <c r="M13" i="2" s="1"/>
  <c r="I3" i="2"/>
  <c r="H3" i="2"/>
  <c r="C3" i="2"/>
  <c r="N3" i="2" s="1"/>
  <c r="AD2" i="2"/>
  <c r="AC2" i="2"/>
  <c r="AB2" i="2"/>
  <c r="AA2" i="2"/>
  <c r="G11" i="2" s="1"/>
  <c r="AA2" i="2" a="1"/>
  <c r="U2" i="2" a="1"/>
  <c r="U2" i="2" s="1"/>
  <c r="S2" i="2"/>
  <c r="U62" i="2" s="1" a="1"/>
  <c r="U62" i="2" s="1"/>
  <c r="M2" i="2" a="1"/>
  <c r="M2" i="2" s="1"/>
  <c r="L2" i="2"/>
  <c r="M12" i="2" s="1" a="1"/>
  <c r="M12" i="2" s="1"/>
  <c r="I2" i="2"/>
  <c r="H2" i="2"/>
  <c r="AD68" i="1"/>
  <c r="AC68" i="1"/>
  <c r="AB68" i="1"/>
  <c r="AA68" i="1"/>
  <c r="AA68" i="1" a="1"/>
  <c r="AD67" i="1"/>
  <c r="AC67" i="1"/>
  <c r="AB67" i="1"/>
  <c r="AA67" i="1" a="1"/>
  <c r="AA67" i="1" s="1"/>
  <c r="AD66" i="1"/>
  <c r="AC66" i="1"/>
  <c r="AB66" i="1"/>
  <c r="AA66" i="1"/>
  <c r="AA66" i="1" a="1"/>
  <c r="AD65" i="1"/>
  <c r="AC65" i="1"/>
  <c r="AB65" i="1"/>
  <c r="AA65" i="1" a="1"/>
  <c r="AA65" i="1" s="1"/>
  <c r="AD64" i="1"/>
  <c r="AC64" i="1"/>
  <c r="AB64" i="1"/>
  <c r="AA64" i="1" a="1"/>
  <c r="AA64" i="1" s="1"/>
  <c r="AD63" i="1"/>
  <c r="AC63" i="1"/>
  <c r="AB63" i="1"/>
  <c r="AA63" i="1"/>
  <c r="AA63" i="1" a="1"/>
  <c r="AD62" i="1"/>
  <c r="AC62" i="1"/>
  <c r="AB62" i="1"/>
  <c r="AA62" i="1" a="1"/>
  <c r="AA62" i="1" s="1"/>
  <c r="AD61" i="1"/>
  <c r="AC61" i="1"/>
  <c r="AB61" i="1"/>
  <c r="AA61" i="1" a="1"/>
  <c r="AA61" i="1" s="1"/>
  <c r="AD60" i="1"/>
  <c r="AC60" i="1"/>
  <c r="AB60" i="1"/>
  <c r="AA60" i="1"/>
  <c r="AA60" i="1" a="1"/>
  <c r="AD59" i="1"/>
  <c r="AC59" i="1"/>
  <c r="AB59" i="1"/>
  <c r="AA59" i="1" a="1"/>
  <c r="AA59" i="1" s="1"/>
  <c r="AD58" i="1"/>
  <c r="AC58" i="1"/>
  <c r="AB58" i="1"/>
  <c r="AA58" i="1"/>
  <c r="AA58" i="1" a="1"/>
  <c r="AD57" i="1"/>
  <c r="AC57" i="1"/>
  <c r="AB57" i="1"/>
  <c r="AA57" i="1" a="1"/>
  <c r="AA57" i="1" s="1"/>
  <c r="AD56" i="1"/>
  <c r="AC56" i="1"/>
  <c r="AB56" i="1"/>
  <c r="AA56" i="1" a="1"/>
  <c r="AA56" i="1" s="1"/>
  <c r="AD55" i="1"/>
  <c r="AC55" i="1"/>
  <c r="AB55" i="1"/>
  <c r="AA55" i="1"/>
  <c r="AA55" i="1" a="1"/>
  <c r="AD54" i="1"/>
  <c r="AC54" i="1"/>
  <c r="AB54" i="1"/>
  <c r="AA54" i="1" a="1"/>
  <c r="AA54" i="1" s="1"/>
  <c r="AD53" i="1"/>
  <c r="AC53" i="1"/>
  <c r="AB53" i="1"/>
  <c r="AA53" i="1" a="1"/>
  <c r="AA53" i="1" s="1"/>
  <c r="AD52" i="1"/>
  <c r="AC52" i="1"/>
  <c r="AB52" i="1"/>
  <c r="AA52" i="1"/>
  <c r="AA52" i="1" a="1"/>
  <c r="AD51" i="1"/>
  <c r="AC51" i="1"/>
  <c r="AB51" i="1"/>
  <c r="AA51" i="1" a="1"/>
  <c r="AA51" i="1" s="1"/>
  <c r="AD50" i="1"/>
  <c r="AC50" i="1"/>
  <c r="AB50" i="1"/>
  <c r="AA50" i="1"/>
  <c r="AA50" i="1" a="1"/>
  <c r="AD49" i="1"/>
  <c r="AC49" i="1"/>
  <c r="AB49" i="1"/>
  <c r="AA49" i="1" a="1"/>
  <c r="AA49" i="1" s="1"/>
  <c r="AD48" i="1"/>
  <c r="AC48" i="1"/>
  <c r="AB48" i="1"/>
  <c r="AA48" i="1" a="1"/>
  <c r="AA48" i="1" s="1"/>
  <c r="AD47" i="1"/>
  <c r="AC47" i="1"/>
  <c r="AB47" i="1"/>
  <c r="AA47" i="1"/>
  <c r="AA47" i="1" a="1"/>
  <c r="AD46" i="1"/>
  <c r="AC46" i="1"/>
  <c r="AB46" i="1"/>
  <c r="AA46" i="1" a="1"/>
  <c r="AA46" i="1" s="1"/>
  <c r="AD45" i="1"/>
  <c r="AC45" i="1"/>
  <c r="AB45" i="1"/>
  <c r="AA45" i="1" a="1"/>
  <c r="AA45" i="1" s="1"/>
  <c r="AD44" i="1"/>
  <c r="AC44" i="1"/>
  <c r="AB44" i="1"/>
  <c r="AA44" i="1"/>
  <c r="AA44" i="1" a="1"/>
  <c r="AD43" i="1"/>
  <c r="AC43" i="1"/>
  <c r="AB43" i="1"/>
  <c r="AA43" i="1" a="1"/>
  <c r="AA43" i="1" s="1"/>
  <c r="AD42" i="1"/>
  <c r="AC42" i="1"/>
  <c r="AB42" i="1"/>
  <c r="AA42" i="1"/>
  <c r="AA42" i="1" a="1"/>
  <c r="AD41" i="1"/>
  <c r="AC41" i="1"/>
  <c r="AB41" i="1"/>
  <c r="AA41" i="1" a="1"/>
  <c r="AA41" i="1" s="1"/>
  <c r="AD40" i="1"/>
  <c r="AC40" i="1"/>
  <c r="AB40" i="1"/>
  <c r="AA40" i="1" a="1"/>
  <c r="AA40" i="1" s="1"/>
  <c r="AD39" i="1"/>
  <c r="AC39" i="1"/>
  <c r="AB39" i="1"/>
  <c r="AA39" i="1"/>
  <c r="AA39" i="1" a="1"/>
  <c r="AD38" i="1"/>
  <c r="AC38" i="1"/>
  <c r="AB38" i="1"/>
  <c r="AA38" i="1" a="1"/>
  <c r="AA38" i="1" s="1"/>
  <c r="AD37" i="1"/>
  <c r="AC37" i="1"/>
  <c r="AB37" i="1"/>
  <c r="AA37" i="1" a="1"/>
  <c r="AA37" i="1" s="1"/>
  <c r="AD36" i="1"/>
  <c r="AC36" i="1"/>
  <c r="AB36" i="1"/>
  <c r="AA36" i="1"/>
  <c r="AA36" i="1" a="1"/>
  <c r="AD35" i="1"/>
  <c r="AC35" i="1"/>
  <c r="AB35" i="1"/>
  <c r="AA35" i="1" a="1"/>
  <c r="AA35" i="1" s="1"/>
  <c r="AD34" i="1"/>
  <c r="AC34" i="1"/>
  <c r="AB34" i="1"/>
  <c r="AA34" i="1"/>
  <c r="AA34" i="1" a="1"/>
  <c r="AD33" i="1"/>
  <c r="AC33" i="1"/>
  <c r="AB33" i="1"/>
  <c r="AA33" i="1" a="1"/>
  <c r="AA33" i="1" s="1"/>
  <c r="N33" i="1"/>
  <c r="M33" i="1"/>
  <c r="M33" i="1" a="1"/>
  <c r="L33" i="1"/>
  <c r="K33" i="1"/>
  <c r="K33" i="1" a="1"/>
  <c r="J33" i="1"/>
  <c r="I33" i="1"/>
  <c r="H33" i="1"/>
  <c r="G33" i="1"/>
  <c r="F33" i="1"/>
  <c r="E33" i="1"/>
  <c r="C33" i="1"/>
  <c r="AD32" i="1"/>
  <c r="AC32" i="1"/>
  <c r="AB32" i="1"/>
  <c r="AA32" i="1" a="1"/>
  <c r="AA32" i="1" s="1"/>
  <c r="N32" i="1"/>
  <c r="M32" i="1" a="1"/>
  <c r="M32" i="1" s="1"/>
  <c r="L32" i="1"/>
  <c r="K32" i="1" a="1"/>
  <c r="K32" i="1" s="1"/>
  <c r="J32" i="1"/>
  <c r="I32" i="1"/>
  <c r="H32" i="1"/>
  <c r="G32" i="1"/>
  <c r="F32" i="1"/>
  <c r="E32" i="1"/>
  <c r="C32" i="1"/>
  <c r="AD31" i="1"/>
  <c r="AC31" i="1"/>
  <c r="AB31" i="1"/>
  <c r="AA31" i="1"/>
  <c r="AA31" i="1" a="1"/>
  <c r="N31" i="1"/>
  <c r="M31" i="1" a="1"/>
  <c r="M31" i="1" s="1"/>
  <c r="L31" i="1"/>
  <c r="K31" i="1"/>
  <c r="K31" i="1" a="1"/>
  <c r="J31" i="1"/>
  <c r="I31" i="1"/>
  <c r="H31" i="1"/>
  <c r="G31" i="1"/>
  <c r="F31" i="1"/>
  <c r="E31" i="1"/>
  <c r="C31" i="1"/>
  <c r="AD30" i="1"/>
  <c r="AC30" i="1"/>
  <c r="AB30" i="1"/>
  <c r="AA30" i="1" a="1"/>
  <c r="AA30" i="1" s="1"/>
  <c r="N30" i="1"/>
  <c r="M30" i="1"/>
  <c r="M30" i="1" a="1"/>
  <c r="L30" i="1"/>
  <c r="K30" i="1"/>
  <c r="K30" i="1" a="1"/>
  <c r="J30" i="1"/>
  <c r="I30" i="1"/>
  <c r="H30" i="1"/>
  <c r="G30" i="1"/>
  <c r="F30" i="1"/>
  <c r="E30" i="1"/>
  <c r="C30" i="1"/>
  <c r="AD29" i="1"/>
  <c r="AC29" i="1"/>
  <c r="AB29" i="1"/>
  <c r="AA29" i="1" a="1"/>
  <c r="AA29" i="1" s="1"/>
  <c r="N29" i="1"/>
  <c r="M29" i="1" a="1"/>
  <c r="M29" i="1" s="1"/>
  <c r="L29" i="1"/>
  <c r="K29" i="1" a="1"/>
  <c r="K29" i="1" s="1"/>
  <c r="J29" i="1"/>
  <c r="I29" i="1"/>
  <c r="H29" i="1"/>
  <c r="G29" i="1"/>
  <c r="F29" i="1"/>
  <c r="E29" i="1"/>
  <c r="C29" i="1"/>
  <c r="AD28" i="1"/>
  <c r="AC28" i="1"/>
  <c r="AB28" i="1"/>
  <c r="AA28" i="1"/>
  <c r="AA28" i="1" a="1"/>
  <c r="N28" i="1"/>
  <c r="M28" i="1"/>
  <c r="M28" i="1" a="1"/>
  <c r="L28" i="1"/>
  <c r="K28" i="1" a="1"/>
  <c r="K28" i="1" s="1"/>
  <c r="J28" i="1"/>
  <c r="I28" i="1"/>
  <c r="H28" i="1"/>
  <c r="G28" i="1"/>
  <c r="F28" i="1"/>
  <c r="E28" i="1"/>
  <c r="C28" i="1"/>
  <c r="AD27" i="1"/>
  <c r="AC27" i="1"/>
  <c r="AB27" i="1"/>
  <c r="AA27" i="1" a="1"/>
  <c r="AA27" i="1" s="1"/>
  <c r="C9" i="1" s="1"/>
  <c r="N27" i="1"/>
  <c r="M27" i="1" a="1"/>
  <c r="M27" i="1" s="1"/>
  <c r="L27" i="1"/>
  <c r="K27" i="1"/>
  <c r="K27" i="1" a="1"/>
  <c r="J27" i="1"/>
  <c r="I27" i="1"/>
  <c r="H27" i="1"/>
  <c r="G27" i="1"/>
  <c r="F27" i="1"/>
  <c r="E27" i="1"/>
  <c r="C27" i="1"/>
  <c r="AD26" i="1"/>
  <c r="AC26" i="1"/>
  <c r="AB26" i="1"/>
  <c r="AA26" i="1"/>
  <c r="AA26" i="1" a="1"/>
  <c r="N26" i="1"/>
  <c r="M26" i="1"/>
  <c r="M26" i="1" a="1"/>
  <c r="L26" i="1"/>
  <c r="K26" i="1" a="1"/>
  <c r="K26" i="1" s="1"/>
  <c r="J26" i="1"/>
  <c r="I26" i="1"/>
  <c r="H26" i="1"/>
  <c r="G26" i="1"/>
  <c r="F26" i="1"/>
  <c r="E26" i="1"/>
  <c r="C26" i="1"/>
  <c r="AD25" i="1"/>
  <c r="AC25" i="1"/>
  <c r="AB25" i="1"/>
  <c r="AA25" i="1" a="1"/>
  <c r="AA25" i="1" s="1"/>
  <c r="N25" i="1"/>
  <c r="M25" i="1"/>
  <c r="M25" i="1" a="1"/>
  <c r="L25" i="1"/>
  <c r="K25" i="1"/>
  <c r="K25" i="1" a="1"/>
  <c r="J25" i="1"/>
  <c r="I25" i="1"/>
  <c r="H25" i="1"/>
  <c r="G25" i="1"/>
  <c r="F25" i="1"/>
  <c r="E25" i="1"/>
  <c r="C25" i="1"/>
  <c r="AD24" i="1"/>
  <c r="AC24" i="1"/>
  <c r="AB24" i="1"/>
  <c r="AA24" i="1" a="1"/>
  <c r="AA24" i="1" s="1"/>
  <c r="N24" i="1"/>
  <c r="M24" i="1" a="1"/>
  <c r="M24" i="1" s="1"/>
  <c r="L24" i="1"/>
  <c r="K24" i="1" a="1"/>
  <c r="K24" i="1" s="1"/>
  <c r="J24" i="1"/>
  <c r="I24" i="1"/>
  <c r="H24" i="1"/>
  <c r="G24" i="1"/>
  <c r="F24" i="1"/>
  <c r="E24" i="1"/>
  <c r="C24" i="1"/>
  <c r="AD23" i="1"/>
  <c r="AC23" i="1"/>
  <c r="AB23" i="1"/>
  <c r="AA23" i="1"/>
  <c r="AA23" i="1" a="1"/>
  <c r="N23" i="1"/>
  <c r="M23" i="1" a="1"/>
  <c r="M23" i="1" s="1"/>
  <c r="L23" i="1"/>
  <c r="K23" i="1"/>
  <c r="K23" i="1" a="1"/>
  <c r="J23" i="1"/>
  <c r="I23" i="1"/>
  <c r="H23" i="1"/>
  <c r="G23" i="1"/>
  <c r="F23" i="1"/>
  <c r="E23" i="1"/>
  <c r="C23" i="1"/>
  <c r="AD22" i="1"/>
  <c r="AC22" i="1"/>
  <c r="AB22" i="1"/>
  <c r="AA22" i="1" a="1"/>
  <c r="AA22" i="1" s="1"/>
  <c r="N22" i="1"/>
  <c r="M22" i="1"/>
  <c r="M22" i="1" a="1"/>
  <c r="L22" i="1"/>
  <c r="K22" i="1"/>
  <c r="K22" i="1" a="1"/>
  <c r="J22" i="1"/>
  <c r="I22" i="1"/>
  <c r="H22" i="1"/>
  <c r="G22" i="1"/>
  <c r="F22" i="1"/>
  <c r="E22" i="1"/>
  <c r="C22" i="1"/>
  <c r="AD21" i="1"/>
  <c r="AC21" i="1"/>
  <c r="AB21" i="1"/>
  <c r="AA21" i="1" a="1"/>
  <c r="AA21" i="1" s="1"/>
  <c r="N21" i="1"/>
  <c r="M21" i="1" a="1"/>
  <c r="M21" i="1" s="1"/>
  <c r="L21" i="1"/>
  <c r="K21" i="1" a="1"/>
  <c r="K21" i="1" s="1"/>
  <c r="J21" i="1"/>
  <c r="I21" i="1"/>
  <c r="H21" i="1"/>
  <c r="G21" i="1"/>
  <c r="F21" i="1"/>
  <c r="E21" i="1"/>
  <c r="C21" i="1"/>
  <c r="AD20" i="1"/>
  <c r="AC20" i="1"/>
  <c r="AB20" i="1"/>
  <c r="AA20" i="1"/>
  <c r="AA20" i="1" a="1"/>
  <c r="N20" i="1"/>
  <c r="M20" i="1"/>
  <c r="M20" i="1" a="1"/>
  <c r="L20" i="1"/>
  <c r="K20" i="1" a="1"/>
  <c r="K20" i="1" s="1"/>
  <c r="J20" i="1"/>
  <c r="I20" i="1"/>
  <c r="H20" i="1"/>
  <c r="G20" i="1"/>
  <c r="F20" i="1"/>
  <c r="E20" i="1"/>
  <c r="C20" i="1"/>
  <c r="AD19" i="1"/>
  <c r="AC19" i="1"/>
  <c r="AB19" i="1"/>
  <c r="AA19" i="1" a="1"/>
  <c r="AA19" i="1" s="1"/>
  <c r="C4" i="1" s="1"/>
  <c r="N19" i="1"/>
  <c r="M19" i="1" a="1"/>
  <c r="M19" i="1" s="1"/>
  <c r="L19" i="1"/>
  <c r="K19" i="1"/>
  <c r="K19" i="1" a="1"/>
  <c r="J19" i="1"/>
  <c r="I19" i="1"/>
  <c r="H19" i="1"/>
  <c r="G19" i="1"/>
  <c r="F19" i="1"/>
  <c r="E19" i="1"/>
  <c r="C19" i="1"/>
  <c r="AD18" i="1"/>
  <c r="AC18" i="1"/>
  <c r="AB18" i="1"/>
  <c r="AA18" i="1"/>
  <c r="AA18" i="1" a="1"/>
  <c r="N18" i="1"/>
  <c r="M18" i="1" a="1"/>
  <c r="M18" i="1" s="1"/>
  <c r="L18" i="1"/>
  <c r="K18" i="1" a="1"/>
  <c r="K18" i="1" s="1"/>
  <c r="J18" i="1"/>
  <c r="I18" i="1"/>
  <c r="H18" i="1"/>
  <c r="G18" i="1"/>
  <c r="F18" i="1"/>
  <c r="E18" i="1"/>
  <c r="C18" i="1"/>
  <c r="AD17" i="1"/>
  <c r="AC17" i="1"/>
  <c r="AB17" i="1"/>
  <c r="AA17" i="1" a="1"/>
  <c r="AA17" i="1" s="1"/>
  <c r="C5" i="1" s="1"/>
  <c r="N17" i="1"/>
  <c r="M17" i="1"/>
  <c r="M17" i="1" a="1"/>
  <c r="L17" i="1"/>
  <c r="K17" i="1"/>
  <c r="K17" i="1" a="1"/>
  <c r="J17" i="1"/>
  <c r="I17" i="1"/>
  <c r="H17" i="1"/>
  <c r="G17" i="1"/>
  <c r="F17" i="1"/>
  <c r="E17" i="1"/>
  <c r="C17" i="1"/>
  <c r="AD16" i="1"/>
  <c r="AC16" i="1"/>
  <c r="AB16" i="1"/>
  <c r="AA16" i="1" a="1"/>
  <c r="AA16" i="1" s="1"/>
  <c r="N16" i="1"/>
  <c r="M16" i="1" a="1"/>
  <c r="M16" i="1" s="1"/>
  <c r="L16" i="1"/>
  <c r="K16" i="1" a="1"/>
  <c r="K16" i="1" s="1"/>
  <c r="J16" i="1"/>
  <c r="I16" i="1"/>
  <c r="H16" i="1"/>
  <c r="G16" i="1"/>
  <c r="F16" i="1"/>
  <c r="E16" i="1"/>
  <c r="C16" i="1"/>
  <c r="AD15" i="1"/>
  <c r="AC15" i="1"/>
  <c r="AB15" i="1"/>
  <c r="AA15" i="1"/>
  <c r="AA15" i="1" a="1"/>
  <c r="N15" i="1"/>
  <c r="M15" i="1" a="1"/>
  <c r="M15" i="1" s="1"/>
  <c r="L15" i="1"/>
  <c r="K15" i="1" a="1"/>
  <c r="K15" i="1" s="1"/>
  <c r="J15" i="1"/>
  <c r="I15" i="1"/>
  <c r="H15" i="1"/>
  <c r="G15" i="1"/>
  <c r="F15" i="1"/>
  <c r="E15" i="1"/>
  <c r="C15" i="1"/>
  <c r="AD14" i="1"/>
  <c r="AC14" i="1"/>
  <c r="AB14" i="1"/>
  <c r="AA14" i="1" a="1"/>
  <c r="AA14" i="1" s="1"/>
  <c r="C8" i="1" s="1"/>
  <c r="N14" i="1"/>
  <c r="M14" i="1"/>
  <c r="M14" i="1" a="1"/>
  <c r="L14" i="1"/>
  <c r="K14" i="1"/>
  <c r="K14" i="1" a="1"/>
  <c r="J14" i="1"/>
  <c r="I14" i="1"/>
  <c r="H14" i="1"/>
  <c r="G14" i="1"/>
  <c r="F14" i="1"/>
  <c r="E14" i="1"/>
  <c r="C14" i="1"/>
  <c r="AD13" i="1"/>
  <c r="AC13" i="1"/>
  <c r="AB13" i="1"/>
  <c r="AA13" i="1" a="1"/>
  <c r="AA13" i="1" s="1"/>
  <c r="C7" i="1" s="1"/>
  <c r="N13" i="1"/>
  <c r="M13" i="1" a="1"/>
  <c r="M13" i="1" s="1"/>
  <c r="L13" i="1"/>
  <c r="K13" i="1" a="1"/>
  <c r="K13" i="1" s="1"/>
  <c r="J13" i="1"/>
  <c r="I13" i="1"/>
  <c r="H13" i="1"/>
  <c r="G13" i="1"/>
  <c r="F13" i="1"/>
  <c r="E13" i="1"/>
  <c r="C13" i="1"/>
  <c r="AD12" i="1"/>
  <c r="AC12" i="1"/>
  <c r="AB12" i="1"/>
  <c r="AA12" i="1"/>
  <c r="AA12" i="1" a="1"/>
  <c r="L12" i="1"/>
  <c r="I12" i="1"/>
  <c r="H12" i="1"/>
  <c r="AD11" i="1"/>
  <c r="AC11" i="1"/>
  <c r="AB11" i="1"/>
  <c r="AA11" i="1"/>
  <c r="AA11" i="1" a="1"/>
  <c r="M11" i="1" a="1"/>
  <c r="M11" i="1" s="1"/>
  <c r="L11" i="1"/>
  <c r="M12" i="1" s="1" a="1"/>
  <c r="M12" i="1" s="1"/>
  <c r="I11" i="1"/>
  <c r="H11" i="1"/>
  <c r="C11" i="1"/>
  <c r="AD10" i="1"/>
  <c r="AC10" i="1"/>
  <c r="AB10" i="1"/>
  <c r="AA10" i="1" a="1"/>
  <c r="AA10" i="1" s="1"/>
  <c r="C3" i="1" s="1"/>
  <c r="M10" i="1" a="1"/>
  <c r="M10" i="1" s="1"/>
  <c r="L10" i="1"/>
  <c r="M9" i="1" s="1" a="1"/>
  <c r="M9" i="1" s="1"/>
  <c r="I10" i="1"/>
  <c r="H10" i="1"/>
  <c r="AD9" i="1"/>
  <c r="AC9" i="1"/>
  <c r="AB9" i="1"/>
  <c r="AA9" i="1" a="1"/>
  <c r="AA9" i="1" s="1"/>
  <c r="L9" i="1"/>
  <c r="I9" i="1"/>
  <c r="H9" i="1"/>
  <c r="AD8" i="1"/>
  <c r="AC8" i="1"/>
  <c r="AB8" i="1"/>
  <c r="AA8" i="1" a="1"/>
  <c r="AA8" i="1" s="1"/>
  <c r="L8" i="1"/>
  <c r="I8" i="1"/>
  <c r="H8" i="1"/>
  <c r="AD7" i="1"/>
  <c r="AC7" i="1"/>
  <c r="AB7" i="1"/>
  <c r="AA7" i="1" a="1"/>
  <c r="AA7" i="1" s="1"/>
  <c r="M7" i="1" a="1"/>
  <c r="M7" i="1" s="1"/>
  <c r="L7" i="1"/>
  <c r="I7" i="1"/>
  <c r="H7" i="1"/>
  <c r="AD6" i="1"/>
  <c r="AC6" i="1"/>
  <c r="AB6" i="1"/>
  <c r="C10" i="1" s="1"/>
  <c r="AA6" i="1"/>
  <c r="AA6" i="1" a="1"/>
  <c r="M6" i="1" a="1"/>
  <c r="M6" i="1" s="1"/>
  <c r="L6" i="1"/>
  <c r="I6" i="1"/>
  <c r="H6" i="1"/>
  <c r="AD5" i="1"/>
  <c r="AC5" i="1"/>
  <c r="AB5" i="1"/>
  <c r="AA5" i="1"/>
  <c r="AA5" i="1" a="1"/>
  <c r="M5" i="1" a="1"/>
  <c r="M5" i="1" s="1"/>
  <c r="L5" i="1"/>
  <c r="M8" i="1" s="1" a="1"/>
  <c r="M8" i="1" s="1"/>
  <c r="I5" i="1"/>
  <c r="H5" i="1"/>
  <c r="AD4" i="1"/>
  <c r="AC4" i="1"/>
  <c r="AB4" i="1"/>
  <c r="AA4" i="1"/>
  <c r="AA4" i="1" a="1"/>
  <c r="M4" i="1" a="1"/>
  <c r="M4" i="1" s="1"/>
  <c r="L4" i="1"/>
  <c r="I4" i="1"/>
  <c r="H4" i="1"/>
  <c r="AD3" i="1"/>
  <c r="AC3" i="1"/>
  <c r="AB3" i="1"/>
  <c r="AA3" i="1"/>
  <c r="AA3" i="1" a="1"/>
  <c r="M3" i="1" a="1"/>
  <c r="M3" i="1" s="1"/>
  <c r="L3" i="1"/>
  <c r="I3" i="1"/>
  <c r="H3" i="1"/>
  <c r="AD2" i="1"/>
  <c r="AC2" i="1"/>
  <c r="AB2" i="1"/>
  <c r="AA2" i="1"/>
  <c r="G11" i="1" s="1"/>
  <c r="AA2" i="1" a="1"/>
  <c r="S2" i="1"/>
  <c r="U62" i="1" s="1" a="1"/>
  <c r="U62" i="1" s="1"/>
  <c r="M2" i="1" a="1"/>
  <c r="M2" i="1" s="1"/>
  <c r="L2" i="1"/>
  <c r="I2" i="1"/>
  <c r="H2" i="1"/>
  <c r="C2" i="1"/>
  <c r="C8" i="2" l="1"/>
  <c r="F2" i="2"/>
  <c r="N4" i="2"/>
  <c r="K15" i="2" s="1" a="1"/>
  <c r="K15" i="2" s="1"/>
  <c r="N7" i="2"/>
  <c r="K6" i="2" s="1" a="1"/>
  <c r="K6" i="2" s="1"/>
  <c r="N13" i="2"/>
  <c r="K14" i="2" s="1" a="1"/>
  <c r="K14" i="2" s="1"/>
  <c r="N2" i="2"/>
  <c r="N12" i="2"/>
  <c r="N9" i="2"/>
  <c r="K13" i="2" a="1"/>
  <c r="K13" i="2" s="1"/>
  <c r="D15" i="2" a="1"/>
  <c r="D15" i="2" s="1"/>
  <c r="N15" i="2"/>
  <c r="N14" i="2"/>
  <c r="N5" i="2"/>
  <c r="N11" i="2"/>
  <c r="D21" i="2" a="1"/>
  <c r="D21" i="2" s="1"/>
  <c r="U3" i="2" a="1"/>
  <c r="U3" i="2" s="1"/>
  <c r="U6" i="2" a="1"/>
  <c r="U6" i="2" s="1"/>
  <c r="G10" i="2"/>
  <c r="U13" i="2" a="1"/>
  <c r="U13" i="2" s="1"/>
  <c r="U21" i="2" a="1"/>
  <c r="U21" i="2" s="1"/>
  <c r="U29" i="2" a="1"/>
  <c r="U29" i="2" s="1"/>
  <c r="U37" i="2" a="1"/>
  <c r="U37" i="2" s="1"/>
  <c r="U45" i="2" a="1"/>
  <c r="U45" i="2" s="1"/>
  <c r="U53" i="2" a="1"/>
  <c r="U53" i="2" s="1"/>
  <c r="U61" i="2" a="1"/>
  <c r="U61" i="2" s="1"/>
  <c r="U4" i="2" a="1"/>
  <c r="U4" i="2" s="1"/>
  <c r="E9" i="2"/>
  <c r="F10" i="2"/>
  <c r="E8" i="2"/>
  <c r="F9" i="2"/>
  <c r="E2" i="2"/>
  <c r="J2" i="2" s="1"/>
  <c r="E3" i="2"/>
  <c r="E4" i="2"/>
  <c r="E5" i="2"/>
  <c r="E6" i="2"/>
  <c r="E7" i="2"/>
  <c r="F8" i="2"/>
  <c r="M8" i="2" a="1"/>
  <c r="M8" i="2" s="1"/>
  <c r="G9" i="2"/>
  <c r="U12" i="2" a="1"/>
  <c r="U12" i="2" s="1"/>
  <c r="E15" i="2"/>
  <c r="U20" i="2" a="1"/>
  <c r="U20" i="2" s="1"/>
  <c r="U28" i="2" a="1"/>
  <c r="U28" i="2" s="1"/>
  <c r="U36" i="2" a="1"/>
  <c r="U36" i="2" s="1"/>
  <c r="U44" i="2" a="1"/>
  <c r="U44" i="2" s="1"/>
  <c r="U52" i="2" a="1"/>
  <c r="U52" i="2" s="1"/>
  <c r="U60" i="2" a="1"/>
  <c r="U60" i="2" s="1"/>
  <c r="U68" i="2" a="1"/>
  <c r="U68" i="2" s="1"/>
  <c r="F4" i="2"/>
  <c r="G8" i="2"/>
  <c r="U11" i="2" a="1"/>
  <c r="U11" i="2" s="1"/>
  <c r="E14" i="2"/>
  <c r="F15" i="2"/>
  <c r="U19" i="2" a="1"/>
  <c r="U19" i="2" s="1"/>
  <c r="U27" i="2" a="1"/>
  <c r="U27" i="2" s="1"/>
  <c r="U35" i="2" a="1"/>
  <c r="U35" i="2" s="1"/>
  <c r="U43" i="2" a="1"/>
  <c r="U43" i="2" s="1"/>
  <c r="U51" i="2" a="1"/>
  <c r="U51" i="2" s="1"/>
  <c r="U59" i="2" a="1"/>
  <c r="U59" i="2" s="1"/>
  <c r="U67" i="2" a="1"/>
  <c r="U67" i="2" s="1"/>
  <c r="F7" i="2"/>
  <c r="G2" i="2"/>
  <c r="G3" i="2"/>
  <c r="G4" i="2"/>
  <c r="G5" i="2"/>
  <c r="G6" i="2"/>
  <c r="G7" i="2"/>
  <c r="C10" i="2"/>
  <c r="U10" i="2" a="1"/>
  <c r="U10" i="2" s="1"/>
  <c r="E13" i="2"/>
  <c r="F14" i="2"/>
  <c r="G15" i="2"/>
  <c r="U18" i="2" a="1"/>
  <c r="U18" i="2" s="1"/>
  <c r="U26" i="2" a="1"/>
  <c r="U26" i="2" s="1"/>
  <c r="U34" i="2" a="1"/>
  <c r="U34" i="2" s="1"/>
  <c r="U42" i="2" a="1"/>
  <c r="U42" i="2" s="1"/>
  <c r="U50" i="2" a="1"/>
  <c r="U50" i="2" s="1"/>
  <c r="U58" i="2" a="1"/>
  <c r="U58" i="2" s="1"/>
  <c r="U66" i="2" a="1"/>
  <c r="U66" i="2" s="1"/>
  <c r="F6" i="2"/>
  <c r="E12" i="2"/>
  <c r="J12" i="2" s="1"/>
  <c r="F13" i="2"/>
  <c r="G14" i="2"/>
  <c r="U17" i="2" a="1"/>
  <c r="U17" i="2" s="1"/>
  <c r="U25" i="2" a="1"/>
  <c r="U25" i="2" s="1"/>
  <c r="U33" i="2" a="1"/>
  <c r="U33" i="2" s="1"/>
  <c r="U41" i="2" a="1"/>
  <c r="U41" i="2" s="1"/>
  <c r="U49" i="2" a="1"/>
  <c r="U49" i="2" s="1"/>
  <c r="U57" i="2" a="1"/>
  <c r="U57" i="2" s="1"/>
  <c r="U65" i="2" a="1"/>
  <c r="U65" i="2" s="1"/>
  <c r="F5" i="2"/>
  <c r="N6" i="2"/>
  <c r="K2" i="2" s="1" a="1"/>
  <c r="K2" i="2" s="1"/>
  <c r="U9" i="2" a="1"/>
  <c r="U9" i="2" s="1"/>
  <c r="U8" i="2" a="1"/>
  <c r="U8" i="2" s="1"/>
  <c r="E11" i="2"/>
  <c r="J11" i="2" s="1"/>
  <c r="F12" i="2"/>
  <c r="G13" i="2"/>
  <c r="U16" i="2" a="1"/>
  <c r="U16" i="2" s="1"/>
  <c r="U24" i="2" a="1"/>
  <c r="U24" i="2" s="1"/>
  <c r="U32" i="2" a="1"/>
  <c r="U32" i="2" s="1"/>
  <c r="U40" i="2" a="1"/>
  <c r="U40" i="2" s="1"/>
  <c r="U48" i="2" a="1"/>
  <c r="U48" i="2" s="1"/>
  <c r="U56" i="2" a="1"/>
  <c r="U56" i="2" s="1"/>
  <c r="U64" i="2" a="1"/>
  <c r="U64" i="2" s="1"/>
  <c r="F3" i="2"/>
  <c r="S3" i="2"/>
  <c r="S4" i="2" s="1"/>
  <c r="D4" i="2" s="1" a="1"/>
  <c r="D4" i="2" s="1"/>
  <c r="S6" i="2"/>
  <c r="S5" i="2" s="1"/>
  <c r="U7" i="2" a="1"/>
  <c r="U7" i="2" s="1"/>
  <c r="E10" i="2"/>
  <c r="J10" i="2" s="1"/>
  <c r="F11" i="2"/>
  <c r="G12" i="2"/>
  <c r="U15" i="2" a="1"/>
  <c r="U15" i="2" s="1"/>
  <c r="U23" i="2" a="1"/>
  <c r="U23" i="2" s="1"/>
  <c r="U31" i="2" a="1"/>
  <c r="U31" i="2" s="1"/>
  <c r="U39" i="2" a="1"/>
  <c r="U39" i="2" s="1"/>
  <c r="U47" i="2" a="1"/>
  <c r="U47" i="2" s="1"/>
  <c r="U55" i="2" a="1"/>
  <c r="U55" i="2" s="1"/>
  <c r="U63" i="2" a="1"/>
  <c r="U63" i="2" s="1"/>
  <c r="U5" i="2" a="1"/>
  <c r="U5" i="2" s="1"/>
  <c r="U14" i="2" a="1"/>
  <c r="U14" i="2" s="1"/>
  <c r="U22" i="2" a="1"/>
  <c r="U22" i="2" s="1"/>
  <c r="U30" i="2" a="1"/>
  <c r="U30" i="2" s="1"/>
  <c r="U38" i="2" a="1"/>
  <c r="U38" i="2" s="1"/>
  <c r="U46" i="2" a="1"/>
  <c r="U46" i="2" s="1"/>
  <c r="U54" i="2" a="1"/>
  <c r="U54" i="2" s="1"/>
  <c r="N9" i="1"/>
  <c r="N3" i="1"/>
  <c r="N7" i="1"/>
  <c r="C6" i="1"/>
  <c r="F2" i="1"/>
  <c r="D8" i="1" a="1"/>
  <c r="D8" i="1" s="1"/>
  <c r="N8" i="1"/>
  <c r="N5" i="1"/>
  <c r="K8" i="1" s="1" a="1"/>
  <c r="K8" i="1" s="1"/>
  <c r="N4" i="1"/>
  <c r="D10" i="1" a="1"/>
  <c r="D10" i="1" s="1"/>
  <c r="N10" i="1"/>
  <c r="D11" i="1" a="1"/>
  <c r="D11" i="1" s="1"/>
  <c r="U4" i="1" a="1"/>
  <c r="U4" i="1" s="1"/>
  <c r="U6" i="1" a="1"/>
  <c r="U6" i="1" s="1"/>
  <c r="G10" i="1"/>
  <c r="N11" i="1"/>
  <c r="U13" i="1" a="1"/>
  <c r="U13" i="1" s="1"/>
  <c r="U21" i="1" a="1"/>
  <c r="U21" i="1" s="1"/>
  <c r="U29" i="1" a="1"/>
  <c r="U29" i="1" s="1"/>
  <c r="U37" i="1" a="1"/>
  <c r="U37" i="1" s="1"/>
  <c r="U45" i="1" a="1"/>
  <c r="U45" i="1" s="1"/>
  <c r="U53" i="1" a="1"/>
  <c r="U53" i="1" s="1"/>
  <c r="U61" i="1" a="1"/>
  <c r="U61" i="1" s="1"/>
  <c r="U3" i="1" a="1"/>
  <c r="U3" i="1" s="1"/>
  <c r="E9" i="1"/>
  <c r="F10" i="1"/>
  <c r="E8" i="1"/>
  <c r="F9" i="1"/>
  <c r="E2" i="1"/>
  <c r="E3" i="1"/>
  <c r="E4" i="1"/>
  <c r="E5" i="1"/>
  <c r="E6" i="1"/>
  <c r="E7" i="1"/>
  <c r="J7" i="1" s="1"/>
  <c r="F8" i="1"/>
  <c r="G9" i="1"/>
  <c r="C12" i="1"/>
  <c r="U12" i="1" a="1"/>
  <c r="U12" i="1" s="1"/>
  <c r="U20" i="1" a="1"/>
  <c r="U20" i="1" s="1"/>
  <c r="U28" i="1" a="1"/>
  <c r="U28" i="1" s="1"/>
  <c r="U36" i="1" a="1"/>
  <c r="U36" i="1" s="1"/>
  <c r="U44" i="1" a="1"/>
  <c r="U44" i="1" s="1"/>
  <c r="U52" i="1" a="1"/>
  <c r="U52" i="1" s="1"/>
  <c r="U60" i="1" a="1"/>
  <c r="U60" i="1" s="1"/>
  <c r="U68" i="1" a="1"/>
  <c r="U68" i="1" s="1"/>
  <c r="F4" i="1"/>
  <c r="F7" i="1"/>
  <c r="U19" i="1" a="1"/>
  <c r="U19" i="1" s="1"/>
  <c r="U27" i="1" a="1"/>
  <c r="U27" i="1" s="1"/>
  <c r="U35" i="1" a="1"/>
  <c r="U35" i="1" s="1"/>
  <c r="U43" i="1" a="1"/>
  <c r="U43" i="1" s="1"/>
  <c r="U51" i="1" a="1"/>
  <c r="U51" i="1" s="1"/>
  <c r="U59" i="1" a="1"/>
  <c r="U59" i="1" s="1"/>
  <c r="U67" i="1" a="1"/>
  <c r="U67" i="1" s="1"/>
  <c r="F5" i="1"/>
  <c r="G8" i="1"/>
  <c r="U11" i="1" a="1"/>
  <c r="U11" i="1" s="1"/>
  <c r="G2" i="1"/>
  <c r="G3" i="1"/>
  <c r="G4" i="1"/>
  <c r="G5" i="1"/>
  <c r="G6" i="1"/>
  <c r="G7" i="1"/>
  <c r="U10" i="1" a="1"/>
  <c r="U10" i="1" s="1"/>
  <c r="U18" i="1" a="1"/>
  <c r="U18" i="1" s="1"/>
  <c r="U26" i="1" a="1"/>
  <c r="U26" i="1" s="1"/>
  <c r="U34" i="1" a="1"/>
  <c r="U34" i="1" s="1"/>
  <c r="U42" i="1" a="1"/>
  <c r="U42" i="1" s="1"/>
  <c r="U50" i="1" a="1"/>
  <c r="U50" i="1" s="1"/>
  <c r="U58" i="1" a="1"/>
  <c r="U58" i="1" s="1"/>
  <c r="U66" i="1" a="1"/>
  <c r="U66" i="1" s="1"/>
  <c r="F3" i="1"/>
  <c r="F6" i="1"/>
  <c r="N2" i="1"/>
  <c r="U9" i="1" a="1"/>
  <c r="U9" i="1" s="1"/>
  <c r="E12" i="1"/>
  <c r="U17" i="1" a="1"/>
  <c r="U17" i="1" s="1"/>
  <c r="U25" i="1" a="1"/>
  <c r="U25" i="1" s="1"/>
  <c r="U33" i="1" a="1"/>
  <c r="U33" i="1" s="1"/>
  <c r="U41" i="1" a="1"/>
  <c r="U41" i="1" s="1"/>
  <c r="U49" i="1" a="1"/>
  <c r="U49" i="1" s="1"/>
  <c r="U57" i="1" a="1"/>
  <c r="U57" i="1" s="1"/>
  <c r="U65" i="1" a="1"/>
  <c r="U65" i="1" s="1"/>
  <c r="U8" i="1" a="1"/>
  <c r="U8" i="1" s="1"/>
  <c r="E11" i="1"/>
  <c r="F12" i="1"/>
  <c r="U16" i="1" a="1"/>
  <c r="U16" i="1" s="1"/>
  <c r="U24" i="1" a="1"/>
  <c r="U24" i="1" s="1"/>
  <c r="U32" i="1" a="1"/>
  <c r="U32" i="1" s="1"/>
  <c r="U40" i="1" a="1"/>
  <c r="U40" i="1" s="1"/>
  <c r="U48" i="1" a="1"/>
  <c r="U48" i="1" s="1"/>
  <c r="U56" i="1" a="1"/>
  <c r="U56" i="1" s="1"/>
  <c r="U64" i="1" a="1"/>
  <c r="U64" i="1" s="1"/>
  <c r="S3" i="1"/>
  <c r="S4" i="1" s="1"/>
  <c r="D20" i="1" s="1" a="1"/>
  <c r="D20" i="1" s="1"/>
  <c r="S6" i="1"/>
  <c r="S5" i="1" s="1"/>
  <c r="U7" i="1" a="1"/>
  <c r="U7" i="1" s="1"/>
  <c r="E10" i="1"/>
  <c r="J10" i="1" s="1"/>
  <c r="F11" i="1"/>
  <c r="G12" i="1"/>
  <c r="U15" i="1" a="1"/>
  <c r="U15" i="1" s="1"/>
  <c r="U23" i="1" a="1"/>
  <c r="U23" i="1" s="1"/>
  <c r="U31" i="1" a="1"/>
  <c r="U31" i="1" s="1"/>
  <c r="U39" i="1" a="1"/>
  <c r="U39" i="1" s="1"/>
  <c r="U47" i="1" a="1"/>
  <c r="U47" i="1" s="1"/>
  <c r="U55" i="1" a="1"/>
  <c r="U55" i="1" s="1"/>
  <c r="U63" i="1" a="1"/>
  <c r="U63" i="1" s="1"/>
  <c r="U2" i="1" a="1"/>
  <c r="U2" i="1" s="1"/>
  <c r="U5" i="1" a="1"/>
  <c r="U5" i="1" s="1"/>
  <c r="U14" i="1" a="1"/>
  <c r="U14" i="1" s="1"/>
  <c r="U22" i="1" a="1"/>
  <c r="U22" i="1" s="1"/>
  <c r="U30" i="1" a="1"/>
  <c r="U30" i="1" s="1"/>
  <c r="U38" i="1" a="1"/>
  <c r="U38" i="1" s="1"/>
  <c r="U46" i="1" a="1"/>
  <c r="U46" i="1" s="1"/>
  <c r="U54" i="1" a="1"/>
  <c r="U54" i="1" s="1"/>
  <c r="K9" i="2" l="1" a="1"/>
  <c r="K9" i="2" s="1"/>
  <c r="K5" i="2" a="1"/>
  <c r="K5" i="2" s="1"/>
  <c r="D25" i="2" a="1"/>
  <c r="D25" i="2" s="1"/>
  <c r="D31" i="2" a="1"/>
  <c r="D31" i="2" s="1"/>
  <c r="J13" i="2"/>
  <c r="J8" i="2"/>
  <c r="D11" i="2" a="1"/>
  <c r="D11" i="2" s="1"/>
  <c r="D33" i="2" a="1"/>
  <c r="D33" i="2" s="1"/>
  <c r="D7" i="2" a="1"/>
  <c r="D7" i="2" s="1"/>
  <c r="D10" i="2" a="1"/>
  <c r="D10" i="2" s="1"/>
  <c r="N10" i="2"/>
  <c r="K8" i="2" s="1" a="1"/>
  <c r="K8" i="2" s="1"/>
  <c r="J14" i="2"/>
  <c r="J7" i="2"/>
  <c r="D5" i="2" a="1"/>
  <c r="D5" i="2" s="1"/>
  <c r="D29" i="2" a="1"/>
  <c r="D29" i="2" s="1"/>
  <c r="D6" i="2" a="1"/>
  <c r="D6" i="2" s="1"/>
  <c r="J6" i="2"/>
  <c r="J9" i="2"/>
  <c r="K10" i="2" a="1"/>
  <c r="K10" i="2" s="1"/>
  <c r="K7" i="2" a="1"/>
  <c r="K7" i="2" s="1"/>
  <c r="D23" i="2" a="1"/>
  <c r="D23" i="2" s="1"/>
  <c r="P29" i="2"/>
  <c r="P21" i="2"/>
  <c r="P13" i="2"/>
  <c r="D3" i="2" a="1"/>
  <c r="D3" i="2" s="1"/>
  <c r="P3" i="2" s="1"/>
  <c r="D32" i="2" a="1"/>
  <c r="D32" i="2" s="1"/>
  <c r="P30" i="2"/>
  <c r="D24" i="2" a="1"/>
  <c r="D24" i="2" s="1"/>
  <c r="P22" i="2"/>
  <c r="D16" i="2" a="1"/>
  <c r="D16" i="2" s="1"/>
  <c r="P14" i="2"/>
  <c r="P31" i="2"/>
  <c r="P23" i="2"/>
  <c r="P15" i="2"/>
  <c r="P7" i="2"/>
  <c r="P6" i="2"/>
  <c r="P8" i="2"/>
  <c r="P32" i="2"/>
  <c r="D26" i="2" a="1"/>
  <c r="D26" i="2" s="1"/>
  <c r="P24" i="2"/>
  <c r="D18" i="2" a="1"/>
  <c r="D18" i="2" s="1"/>
  <c r="P16" i="2"/>
  <c r="P33" i="2"/>
  <c r="D27" i="2" a="1"/>
  <c r="D27" i="2" s="1"/>
  <c r="P25" i="2"/>
  <c r="D19" i="2" a="1"/>
  <c r="D19" i="2" s="1"/>
  <c r="P17" i="2"/>
  <c r="P9" i="2"/>
  <c r="D28" i="2" a="1"/>
  <c r="D28" i="2" s="1"/>
  <c r="P26" i="2"/>
  <c r="D20" i="2" a="1"/>
  <c r="D20" i="2" s="1"/>
  <c r="P18" i="2"/>
  <c r="P10" i="2"/>
  <c r="P27" i="2"/>
  <c r="P19" i="2"/>
  <c r="P11" i="2"/>
  <c r="D30" i="2" a="1"/>
  <c r="D30" i="2" s="1"/>
  <c r="P28" i="2"/>
  <c r="D22" i="2" a="1"/>
  <c r="D22" i="2" s="1"/>
  <c r="P20" i="2"/>
  <c r="P12" i="2"/>
  <c r="J5" i="2"/>
  <c r="D14" i="2" a="1"/>
  <c r="D14" i="2" s="1"/>
  <c r="D9" i="2" a="1"/>
  <c r="D9" i="2" s="1"/>
  <c r="D2" i="2" a="1"/>
  <c r="D2" i="2" s="1"/>
  <c r="P5" i="2" s="1"/>
  <c r="J15" i="2"/>
  <c r="J4" i="2"/>
  <c r="K11" i="2" a="1"/>
  <c r="K11" i="2" s="1"/>
  <c r="D17" i="2" a="1"/>
  <c r="D17" i="2" s="1"/>
  <c r="K12" i="2" a="1"/>
  <c r="K12" i="2" s="1"/>
  <c r="K3" i="2" a="1"/>
  <c r="K3" i="2" s="1"/>
  <c r="J3" i="2"/>
  <c r="K4" i="2" a="1"/>
  <c r="K4" i="2" s="1"/>
  <c r="D12" i="2" a="1"/>
  <c r="D12" i="2" s="1"/>
  <c r="D13" i="2" a="1"/>
  <c r="D13" i="2" s="1"/>
  <c r="D8" i="2" a="1"/>
  <c r="D8" i="2" s="1"/>
  <c r="N8" i="2"/>
  <c r="J12" i="1"/>
  <c r="J3" i="1"/>
  <c r="K7" i="1" a="1"/>
  <c r="K7" i="1" s="1"/>
  <c r="K6" i="1" a="1"/>
  <c r="K6" i="1" s="1"/>
  <c r="D28" i="1" a="1"/>
  <c r="D28" i="1" s="1"/>
  <c r="P29" i="1"/>
  <c r="P21" i="1"/>
  <c r="P13" i="1"/>
  <c r="D32" i="1" a="1"/>
  <c r="D32" i="1" s="1"/>
  <c r="P30" i="1"/>
  <c r="D24" i="1" a="1"/>
  <c r="D24" i="1" s="1"/>
  <c r="P22" i="1"/>
  <c r="D16" i="1" a="1"/>
  <c r="D16" i="1" s="1"/>
  <c r="P14" i="1"/>
  <c r="P31" i="1"/>
  <c r="P23" i="1"/>
  <c r="P15" i="1"/>
  <c r="P7" i="1"/>
  <c r="P6" i="1"/>
  <c r="P32" i="1"/>
  <c r="D26" i="1" a="1"/>
  <c r="D26" i="1" s="1"/>
  <c r="P24" i="1"/>
  <c r="D18" i="1" a="1"/>
  <c r="D18" i="1" s="1"/>
  <c r="P16" i="1"/>
  <c r="P8" i="1"/>
  <c r="P33" i="1"/>
  <c r="P25" i="1"/>
  <c r="P17" i="1"/>
  <c r="P9" i="1"/>
  <c r="P10" i="1"/>
  <c r="P26" i="1"/>
  <c r="P18" i="1"/>
  <c r="D29" i="1" a="1"/>
  <c r="D29" i="1" s="1"/>
  <c r="P27" i="1"/>
  <c r="D21" i="1" a="1"/>
  <c r="D21" i="1" s="1"/>
  <c r="P19" i="1"/>
  <c r="D13" i="1" a="1"/>
  <c r="D13" i="1" s="1"/>
  <c r="P11" i="1"/>
  <c r="P28" i="1"/>
  <c r="D22" i="1" a="1"/>
  <c r="D22" i="1" s="1"/>
  <c r="P20" i="1"/>
  <c r="P12" i="1"/>
  <c r="J11" i="1"/>
  <c r="N12" i="1"/>
  <c r="D12" i="1" a="1"/>
  <c r="D12" i="1" s="1"/>
  <c r="J2" i="1"/>
  <c r="D5" i="1" a="1"/>
  <c r="D5" i="1" s="1"/>
  <c r="D27" i="1" a="1"/>
  <c r="D27" i="1" s="1"/>
  <c r="D19" i="1" a="1"/>
  <c r="D19" i="1" s="1"/>
  <c r="D7" i="1" a="1"/>
  <c r="D7" i="1" s="1"/>
  <c r="D15" i="1" a="1"/>
  <c r="D15" i="1" s="1"/>
  <c r="K3" i="1" a="1"/>
  <c r="K3" i="1" s="1"/>
  <c r="K2" i="1" a="1"/>
  <c r="K2" i="1" s="1"/>
  <c r="D9" i="1" a="1"/>
  <c r="D9" i="1" s="1"/>
  <c r="J6" i="1"/>
  <c r="J9" i="1"/>
  <c r="D33" i="1" a="1"/>
  <c r="D33" i="1" s="1"/>
  <c r="D3" i="1" a="1"/>
  <c r="D3" i="1" s="1"/>
  <c r="P3" i="1" s="1"/>
  <c r="D17" i="1" a="1"/>
  <c r="D17" i="1" s="1"/>
  <c r="K9" i="1" a="1"/>
  <c r="K9" i="1" s="1"/>
  <c r="J5" i="1"/>
  <c r="K5" i="1" a="1"/>
  <c r="K5" i="1" s="1"/>
  <c r="K12" i="1" a="1"/>
  <c r="K12" i="1" s="1"/>
  <c r="K4" i="1" a="1"/>
  <c r="K4" i="1" s="1"/>
  <c r="D31" i="1" a="1"/>
  <c r="D31" i="1" s="1"/>
  <c r="D6" i="1" a="1"/>
  <c r="D6" i="1" s="1"/>
  <c r="N6" i="1"/>
  <c r="D25" i="1" a="1"/>
  <c r="D25" i="1" s="1"/>
  <c r="D14" i="1" a="1"/>
  <c r="D14" i="1" s="1"/>
  <c r="J8" i="1"/>
  <c r="J4" i="1"/>
  <c r="D4" i="1" a="1"/>
  <c r="D4" i="1" s="1"/>
  <c r="P4" i="1" s="1"/>
  <c r="D30" i="1" a="1"/>
  <c r="D30" i="1" s="1"/>
  <c r="D23" i="1" a="1"/>
  <c r="D23" i="1" s="1"/>
  <c r="D2" i="1" a="1"/>
  <c r="D2" i="1" s="1"/>
  <c r="P2" i="1" s="1"/>
  <c r="P2" i="2" l="1"/>
  <c r="P4" i="2"/>
  <c r="K10" i="1" a="1"/>
  <c r="K10" i="1" s="1"/>
  <c r="K11" i="1" a="1"/>
  <c r="K11" i="1" s="1"/>
  <c r="P5" i="1"/>
  <c r="I19" i="4" l="1"/>
  <c r="I14" i="4" l="1"/>
  <c r="I15" i="4" s="1"/>
  <c r="L7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<sst xmlns="http://schemas.openxmlformats.org/spreadsheetml/2006/main" count="505" uniqueCount="226">
  <si>
    <t>Player</t>
  </si>
  <si>
    <t>Deck</t>
  </si>
  <si>
    <t>Points</t>
  </si>
  <si>
    <t>calcWin</t>
  </si>
  <si>
    <t>Win</t>
  </si>
  <si>
    <t>Loss</t>
  </si>
  <si>
    <t>Draw</t>
  </si>
  <si>
    <t>Byes</t>
  </si>
  <si>
    <t>Rounds</t>
  </si>
  <si>
    <t>W-L-D</t>
  </si>
  <si>
    <t>OMW%</t>
  </si>
  <si>
    <t>GW%</t>
  </si>
  <si>
    <t>OGW%</t>
  </si>
  <si>
    <t>MW%</t>
  </si>
  <si>
    <t>OMF Bonus</t>
  </si>
  <si>
    <t>Payout</t>
  </si>
  <si>
    <t>Date:</t>
  </si>
  <si>
    <t>Round 1</t>
  </si>
  <si>
    <t>Player 1</t>
  </si>
  <si>
    <t>Player 2</t>
  </si>
  <si>
    <t>P1-Wins</t>
  </si>
  <si>
    <t>P2-Wins</t>
  </si>
  <si>
    <t>Draws</t>
  </si>
  <si>
    <t>P1-Points</t>
  </si>
  <si>
    <t>P2-Points</t>
  </si>
  <si>
    <t>p1 deck</t>
  </si>
  <si>
    <t>p2 deck</t>
  </si>
  <si>
    <t>Erling André Hervik</t>
  </si>
  <si>
    <t>Lands</t>
  </si>
  <si>
    <t>Players:</t>
  </si>
  <si>
    <t>Petter Haukaas</t>
  </si>
  <si>
    <t>Giacomo Pesci</t>
  </si>
  <si>
    <t>Baard Hübert</t>
  </si>
  <si>
    <t>Rx Painter</t>
  </si>
  <si>
    <t>Rounds:</t>
  </si>
  <si>
    <t>Jørgen Sørli</t>
  </si>
  <si>
    <t>Mono B Reanimator</t>
  </si>
  <si>
    <t>Cutoff points:</t>
  </si>
  <si>
    <t>Tonny Albrigtsen</t>
  </si>
  <si>
    <t>Tormod Lang</t>
  </si>
  <si>
    <t>Grixis Tempo</t>
  </si>
  <si>
    <t>Prize pool:</t>
  </si>
  <si>
    <t>Mikael Gyhagen</t>
  </si>
  <si>
    <t>Anders Christie</t>
  </si>
  <si>
    <t>Death and Taxes</t>
  </si>
  <si>
    <t>Event cut:</t>
  </si>
  <si>
    <t>Martin Lindboe</t>
  </si>
  <si>
    <t>Kenneth Pedersen</t>
  </si>
  <si>
    <t>UR Tempo</t>
  </si>
  <si>
    <t>TO Playing?</t>
  </si>
  <si>
    <t>Elves</t>
  </si>
  <si>
    <t>Moon Stompy</t>
  </si>
  <si>
    <t>Mystic Forge Combo</t>
  </si>
  <si>
    <t>Nazu Wizards</t>
  </si>
  <si>
    <t>Cloudpost</t>
  </si>
  <si>
    <t xml:space="preserve">
</t>
  </si>
  <si>
    <t>Stian Fuglaas</t>
  </si>
  <si>
    <t>Grixis Soothsayer</t>
  </si>
  <si>
    <t>Fredrik Eiding</t>
  </si>
  <si>
    <t>BUG Beans</t>
  </si>
  <si>
    <t>Aleksander Vangsøy</t>
  </si>
  <si>
    <t>Parco Au</t>
  </si>
  <si>
    <t>Ferdinand Marnburg</t>
  </si>
  <si>
    <t>Anders Søberg</t>
  </si>
  <si>
    <t>Sneak and Show</t>
  </si>
  <si>
    <t>Doomsday</t>
  </si>
  <si>
    <t>4+ Color Beans</t>
  </si>
  <si>
    <t>Name</t>
  </si>
  <si>
    <t>Archetype</t>
  </si>
  <si>
    <t>Meta Archetype</t>
  </si>
  <si>
    <t>Brew</t>
  </si>
  <si>
    <t>Minimun plays for chart:</t>
  </si>
  <si>
    <t>Blue Control</t>
  </si>
  <si>
    <t>Control</t>
  </si>
  <si>
    <t>ChartReqPlayer</t>
  </si>
  <si>
    <t>Entry fee:</t>
  </si>
  <si>
    <t>4c Loam</t>
  </si>
  <si>
    <t>Midrange</t>
  </si>
  <si>
    <t>ChartReqDeck</t>
  </si>
  <si>
    <t>Spellslingers bonus:</t>
  </si>
  <si>
    <t>8-Cast</t>
  </si>
  <si>
    <t>Blue Artifact</t>
  </si>
  <si>
    <t>event cut:</t>
  </si>
  <si>
    <t>André Moshølen</t>
  </si>
  <si>
    <t>Aluren</t>
  </si>
  <si>
    <t>Creature Combo</t>
  </si>
  <si>
    <t>Combo</t>
  </si>
  <si>
    <t>Point Calculations</t>
  </si>
  <si>
    <t>Andreas Karlsen</t>
  </si>
  <si>
    <t>Beseech Storm</t>
  </si>
  <si>
    <t>Storm</t>
  </si>
  <si>
    <t>Score</t>
  </si>
  <si>
    <t>Arvin Graff</t>
  </si>
  <si>
    <t>Black Painter</t>
  </si>
  <si>
    <t>Artifact Combo</t>
  </si>
  <si>
    <t>4-0</t>
  </si>
  <si>
    <t>Total prizes fom 01.01.2024:</t>
  </si>
  <si>
    <t>Austin Byron Moore</t>
  </si>
  <si>
    <t>Black Stompy</t>
  </si>
  <si>
    <t>Stompy</t>
  </si>
  <si>
    <t>3-1</t>
  </si>
  <si>
    <t>Axel</t>
  </si>
  <si>
    <t>Blue Belcher</t>
  </si>
  <si>
    <t>3-0-1</t>
  </si>
  <si>
    <t>3-0</t>
  </si>
  <si>
    <t>Bendik Hansen</t>
  </si>
  <si>
    <t>BUG Scam</t>
  </si>
  <si>
    <t>Scam</t>
  </si>
  <si>
    <t>Tempo</t>
  </si>
  <si>
    <t>Benedikte Zwart</t>
  </si>
  <si>
    <t>Burn</t>
  </si>
  <si>
    <t>Aggro</t>
  </si>
  <si>
    <t>Bjørnar Funderud</t>
  </si>
  <si>
    <t>Cephalid Breakfast</t>
  </si>
  <si>
    <t>Current max calc games:</t>
  </si>
  <si>
    <t>Christopher Øvrum</t>
  </si>
  <si>
    <t>Current games</t>
  </si>
  <si>
    <t>Daniel Norum</t>
  </si>
  <si>
    <t>Colorless Prison</t>
  </si>
  <si>
    <t>Prison</t>
  </si>
  <si>
    <t>Dante Forssberg</t>
  </si>
  <si>
    <t>Cradle Control</t>
  </si>
  <si>
    <t>Eirik Larsen</t>
  </si>
  <si>
    <t>Erik Bergseth</t>
  </si>
  <si>
    <t>Death's Shadow</t>
  </si>
  <si>
    <t>TotalWeeksMax:</t>
  </si>
  <si>
    <t>ok</t>
  </si>
  <si>
    <t>Erik Sathe</t>
  </si>
  <si>
    <t>Depths Painter</t>
  </si>
  <si>
    <t>Tournaments Recorded:</t>
  </si>
  <si>
    <t>Spell Combo</t>
  </si>
  <si>
    <t>Dreadnought</t>
  </si>
  <si>
    <t>Dredge</t>
  </si>
  <si>
    <t>Fredrik Næsse</t>
  </si>
  <si>
    <t>Eldrazi</t>
  </si>
  <si>
    <t>Gunnar Sivertsen</t>
  </si>
  <si>
    <t>Enlightened Tutor Control</t>
  </si>
  <si>
    <t>Haiko Zwart</t>
  </si>
  <si>
    <t>Esper tempo</t>
  </si>
  <si>
    <t>Håkon Gulbrandsen</t>
  </si>
  <si>
    <t>Frogsday</t>
  </si>
  <si>
    <t>Håvard Graff</t>
  </si>
  <si>
    <t>Goblins</t>
  </si>
  <si>
    <t>Ian Fox</t>
  </si>
  <si>
    <t>Golgari Yawgmoth</t>
  </si>
  <si>
    <t>Joakim Aarseth</t>
  </si>
  <si>
    <t>Grixis Control</t>
  </si>
  <si>
    <t>Johannes Bang</t>
  </si>
  <si>
    <t>Grixis Lutri</t>
  </si>
  <si>
    <t>Jon Magnus Christensen</t>
  </si>
  <si>
    <t>Gruul Prowess</t>
  </si>
  <si>
    <t>Kristian Skjold</t>
  </si>
  <si>
    <t>GW Midrange</t>
  </si>
  <si>
    <t>Kristin Skivik</t>
  </si>
  <si>
    <t>GWx Depths</t>
  </si>
  <si>
    <t>Manuel Hlavinka</t>
  </si>
  <si>
    <t>High Tide</t>
  </si>
  <si>
    <t>Marius Presterud</t>
  </si>
  <si>
    <t>Hollowvine</t>
  </si>
  <si>
    <t>Infect</t>
  </si>
  <si>
    <t>Mathias Aspen</t>
  </si>
  <si>
    <t>Initiative</t>
  </si>
  <si>
    <t>Matias Kaarstein </t>
  </si>
  <si>
    <t>Jeskai Control</t>
  </si>
  <si>
    <t>Jeskai Tempo</t>
  </si>
  <si>
    <t>Noor Othmani</t>
  </si>
  <si>
    <t>Jewel Combo</t>
  </si>
  <si>
    <t>Jund Lands</t>
  </si>
  <si>
    <t>Peter Madsen</t>
  </si>
  <si>
    <t>Peter Magnus Bråss</t>
  </si>
  <si>
    <t>Lantern Painter</t>
  </si>
  <si>
    <t>Peter White</t>
  </si>
  <si>
    <t>Merfolk</t>
  </si>
  <si>
    <t>Robin Sørlien</t>
  </si>
  <si>
    <t>Mono Black Helm</t>
  </si>
  <si>
    <t>Roland Mork</t>
  </si>
  <si>
    <t>Mono Blue Helm Painter</t>
  </si>
  <si>
    <t>Serina Koch</t>
  </si>
  <si>
    <t>Simen Walbaekken</t>
  </si>
  <si>
    <t>Søren Hunskaar</t>
  </si>
  <si>
    <t>Nadu Elves</t>
  </si>
  <si>
    <t>Stein Elgethun</t>
  </si>
  <si>
    <t>Nadu Midrange</t>
  </si>
  <si>
    <t>Stian Magnell</t>
  </si>
  <si>
    <t>Nic Fit</t>
  </si>
  <si>
    <t>Tom Sondre Albrigsten</t>
  </si>
  <si>
    <t>Ninjas</t>
  </si>
  <si>
    <t>Oops! All Spells</t>
  </si>
  <si>
    <t>Tor Årskog</t>
  </si>
  <si>
    <t>Pox</t>
  </si>
  <si>
    <t>Torgeir Lebesbye</t>
  </si>
  <si>
    <t>RB Midrange</t>
  </si>
  <si>
    <t>RB Reanimator</t>
  </si>
  <si>
    <t>Viktor Hegerberg</t>
  </si>
  <si>
    <t>RB Shadow Helm</t>
  </si>
  <si>
    <t>William Kvisli</t>
  </si>
  <si>
    <t>RB Stompy</t>
  </si>
  <si>
    <t>Joakim Sørgård</t>
  </si>
  <si>
    <t>Reanipainter</t>
  </si>
  <si>
    <t>Rescaminator</t>
  </si>
  <si>
    <t>RG Initiative</t>
  </si>
  <si>
    <t>RG Prison</t>
  </si>
  <si>
    <t>Rhinos</t>
  </si>
  <si>
    <t>Scamwise</t>
  </si>
  <si>
    <t>Show and Depths</t>
  </si>
  <si>
    <t>Slivers</t>
  </si>
  <si>
    <t>Creature</t>
  </si>
  <si>
    <t>Show and Tell</t>
  </si>
  <si>
    <t>Stiflenought</t>
  </si>
  <si>
    <t>Stoneblade</t>
  </si>
  <si>
    <t>Synthesizer Affinity</t>
  </si>
  <si>
    <t>Temur Tempo</t>
  </si>
  <si>
    <t>The EPIC Storm</t>
  </si>
  <si>
    <t>The Rock</t>
  </si>
  <si>
    <t>Tin-Fins</t>
  </si>
  <si>
    <t>Turbo Goblins</t>
  </si>
  <si>
    <t>Turbo Smog</t>
  </si>
  <si>
    <t>UB Midrange</t>
  </si>
  <si>
    <t>UB Painter</t>
  </si>
  <si>
    <t>UB Reanimator</t>
  </si>
  <si>
    <t>UB Scam</t>
  </si>
  <si>
    <t>UB Tempo</t>
  </si>
  <si>
    <t>UB Wheels</t>
  </si>
  <si>
    <t>UR Wizards</t>
  </si>
  <si>
    <t>XXXXX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</si>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</sst>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&quot;&quot;;0"/>
    <numFmt numFmtId="165" formatCode="dd/mm/yy;@"/>
    <numFmt numFmtId="167" formatCode="[$NOK]\ 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1"/>
      <color rgb="FF444444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 diagonalUp="1" diagonalDown="1">
      <left/>
      <right/>
      <top/>
      <bottom/>
      <diagonal style="thin">
        <color auto="1"/>
      </diagonal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1" xfId="0" applyNumberFormat="1" applyFont="1" applyBorder="1"/>
    <xf numFmtId="0" fontId="1" fillId="0" borderId="1" xfId="0" applyFont="1" applyBorder="1"/>
    <xf numFmtId="0" fontId="2" fillId="0" borderId="0" xfId="0" applyFont="1"/>
    <xf numFmtId="10" fontId="1" fillId="0" borderId="0" xfId="0" applyNumberFormat="1" applyFont="1"/>
    <xf numFmtId="10" fontId="3" fillId="0" borderId="0" xfId="0" applyNumberFormat="1" applyFont="1"/>
    <xf numFmtId="10" fontId="1" fillId="0" borderId="0" xfId="1" applyNumberFormat="1" applyFont="1"/>
    <xf numFmtId="2" fontId="3" fillId="0" borderId="0" xfId="0" applyNumberFormat="1" applyFont="1"/>
    <xf numFmtId="165" fontId="0" fillId="0" borderId="0" xfId="0" applyNumberFormat="1"/>
    <xf numFmtId="0" fontId="4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0" fontId="0" fillId="0" borderId="0" xfId="1" applyNumberFormat="1" applyFont="1"/>
    <xf numFmtId="2" fontId="0" fillId="0" borderId="0" xfId="0" applyNumberFormat="1"/>
    <xf numFmtId="0" fontId="1" fillId="0" borderId="0" xfId="0" applyFont="1" applyAlignment="1">
      <alignment wrapText="1"/>
    </xf>
    <xf numFmtId="164" fontId="0" fillId="0" borderId="0" xfId="0" applyNumberFormat="1"/>
    <xf numFmtId="1" fontId="0" fillId="0" borderId="1" xfId="0" applyNumberFormat="1" applyBorder="1"/>
    <xf numFmtId="0" fontId="0" fillId="0" borderId="1" xfId="0" applyBorder="1"/>
    <xf numFmtId="10" fontId="0" fillId="0" borderId="0" xfId="0" applyNumberFormat="1"/>
    <xf numFmtId="0" fontId="0" fillId="0" borderId="6" xfId="0" applyBorder="1"/>
    <xf numFmtId="0" fontId="0" fillId="0" borderId="7" xfId="0" applyBorder="1"/>
    <xf numFmtId="49" fontId="1" fillId="0" borderId="0" xfId="0" applyNumberFormat="1" applyFont="1"/>
    <xf numFmtId="9" fontId="0" fillId="0" borderId="0" xfId="1" applyFont="1"/>
    <xf numFmtId="49" fontId="0" fillId="0" borderId="0" xfId="0" applyNumberFormat="1"/>
    <xf numFmtId="167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Normal" xfId="0" builtinId="0"/>
    <cellStyle name="Percent" xfId="1" builtinId="5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</font>
      <fill>
        <patternFill patternType="solid">
          <bgColor rgb="FFFFC7CE"/>
        </patternFill>
      </fill>
    </dxf>
    <dxf>
      <numFmt numFmtId="0" formatCode="General"/>
    </dxf>
    <dxf>
      <numFmt numFmtId="0" formatCode="General"/>
    </dxf>
    <dxf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numFmt numFmtId="0" formatCode="General"/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numFmt numFmtId="164" formatCode="0;&quot;&quot;;0"/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  <dxf>
      <numFmt numFmtId="0" formatCode="General"/>
    </dxf>
    <dxf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numFmt numFmtId="0" formatCode="General"/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numFmt numFmtId="164" formatCode="0;&quot;&quot;;0"/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ydun\Documents\Oslo%20Legacy%20League.xlsx" TargetMode="External"/><Relationship Id="rId1" Type="http://schemas.openxmlformats.org/officeDocument/2006/relationships/externalLinkPath" Target="/Users/Fydun/Documents/Oslo%20Legacy%20Leag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"/>
      <sheetName val="Autumn League 2025"/>
      <sheetName val="PlayerStats"/>
      <sheetName val="Player matchups"/>
      <sheetName val="DeckStats"/>
      <sheetName val="Deck matchups"/>
      <sheetName val="Data-Source"/>
      <sheetName val="AllGamesList"/>
      <sheetName val="ChartData"/>
      <sheetName val="Player matchups lookup"/>
      <sheetName val="Deck matchups lookup"/>
      <sheetName val="Score formatting"/>
      <sheetName val="Week72"/>
      <sheetName val="Week71"/>
      <sheetName val="Week70"/>
      <sheetName val="Week69"/>
      <sheetName val="Week68"/>
      <sheetName val="Week67"/>
      <sheetName val="Week66"/>
      <sheetName val="Week65"/>
      <sheetName val="Week64"/>
      <sheetName val="Week63"/>
      <sheetName val="Week62"/>
      <sheetName val="Week61"/>
      <sheetName val="Week60"/>
      <sheetName val="Week59"/>
      <sheetName val="Week58"/>
      <sheetName val="Week57"/>
      <sheetName val="Week56"/>
      <sheetName val="Week55"/>
      <sheetName val="Week54"/>
      <sheetName val="Week53"/>
      <sheetName val="Week52"/>
      <sheetName val="Week51"/>
      <sheetName val="Week50"/>
      <sheetName val="Week49"/>
      <sheetName val="Week48"/>
      <sheetName val="Week47"/>
      <sheetName val="Week46"/>
      <sheetName val="Week45"/>
      <sheetName val="Week44"/>
      <sheetName val="Week43"/>
      <sheetName val="Week42"/>
      <sheetName val="Week41"/>
      <sheetName val="Week40"/>
      <sheetName val="Week39"/>
      <sheetName val="Week38"/>
      <sheetName val="Week37"/>
      <sheetName val="Week36"/>
      <sheetName val="Week35"/>
      <sheetName val="Week34"/>
      <sheetName val="Week33"/>
      <sheetName val="Week32"/>
      <sheetName val="Week31"/>
      <sheetName val="Week30"/>
      <sheetName val="Week29"/>
      <sheetName val="Week28"/>
      <sheetName val="Week27"/>
      <sheetName val="Week26"/>
      <sheetName val="Week25"/>
      <sheetName val="Week24"/>
      <sheetName val="Week23"/>
      <sheetName val="Week22"/>
      <sheetName val="Week21"/>
      <sheetName val="Week20"/>
      <sheetName val="Week19"/>
      <sheetName val="Week18"/>
      <sheetName val="Week17"/>
      <sheetName val="Week16"/>
      <sheetName val="Week15"/>
      <sheetName val="Week14"/>
      <sheetName val="Week13"/>
      <sheetName val="Week12"/>
      <sheetName val="Week11"/>
      <sheetName val="Week10"/>
      <sheetName val="Week9"/>
      <sheetName val="Week8"/>
      <sheetName val="Week7"/>
      <sheetName val="Week6"/>
      <sheetName val="Week5"/>
      <sheetName val="Week4"/>
      <sheetName val="Week3"/>
      <sheetName val="Week2"/>
      <sheetName val="Week1"/>
    </sheetNames>
    <sheetDataSet>
      <sheetData sheetId="0" refreshError="1"/>
      <sheetData sheetId="1" refreshError="1"/>
      <sheetData sheetId="2">
        <row r="5">
          <cell r="L5">
            <v>0</v>
          </cell>
        </row>
        <row r="6">
          <cell r="L6">
            <v>4705.75</v>
          </cell>
        </row>
        <row r="7">
          <cell r="L7">
            <v>8353.5</v>
          </cell>
        </row>
        <row r="8">
          <cell r="L8">
            <v>525</v>
          </cell>
        </row>
        <row r="9">
          <cell r="L9">
            <v>252</v>
          </cell>
        </row>
        <row r="10">
          <cell r="L10">
            <v>0</v>
          </cell>
        </row>
        <row r="11">
          <cell r="L11">
            <v>420</v>
          </cell>
        </row>
        <row r="12">
          <cell r="L12">
            <v>0</v>
          </cell>
        </row>
        <row r="13">
          <cell r="L13">
            <v>1313.125</v>
          </cell>
        </row>
        <row r="14">
          <cell r="L14">
            <v>1046.5</v>
          </cell>
        </row>
        <row r="15">
          <cell r="L15">
            <v>0</v>
          </cell>
        </row>
        <row r="16">
          <cell r="L16">
            <v>551.25</v>
          </cell>
        </row>
        <row r="17">
          <cell r="L17">
            <v>147</v>
          </cell>
        </row>
        <row r="18">
          <cell r="L18">
            <v>105</v>
          </cell>
        </row>
        <row r="19">
          <cell r="L19">
            <v>210</v>
          </cell>
        </row>
        <row r="20">
          <cell r="L20">
            <v>1190</v>
          </cell>
        </row>
        <row r="21">
          <cell r="L21">
            <v>640.625</v>
          </cell>
        </row>
        <row r="22">
          <cell r="L22">
            <v>462</v>
          </cell>
        </row>
        <row r="23">
          <cell r="L23">
            <v>460</v>
          </cell>
        </row>
        <row r="24">
          <cell r="L24">
            <v>966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4040.75</v>
          </cell>
        </row>
        <row r="28">
          <cell r="L28">
            <v>2134.125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189</v>
          </cell>
        </row>
        <row r="32">
          <cell r="L32">
            <v>0</v>
          </cell>
        </row>
        <row r="33">
          <cell r="L33">
            <v>2035.75</v>
          </cell>
        </row>
        <row r="34">
          <cell r="L34">
            <v>0</v>
          </cell>
        </row>
        <row r="35">
          <cell r="L35">
            <v>189</v>
          </cell>
        </row>
        <row r="36">
          <cell r="L36">
            <v>5320.25</v>
          </cell>
        </row>
        <row r="37">
          <cell r="L37">
            <v>5967.25</v>
          </cell>
        </row>
        <row r="38">
          <cell r="L38">
            <v>236.25</v>
          </cell>
        </row>
        <row r="39">
          <cell r="L39">
            <v>0</v>
          </cell>
        </row>
        <row r="40">
          <cell r="L40">
            <v>4127</v>
          </cell>
        </row>
        <row r="41">
          <cell r="L41">
            <v>0</v>
          </cell>
        </row>
        <row r="42">
          <cell r="L42">
            <v>1656</v>
          </cell>
        </row>
        <row r="43">
          <cell r="L43">
            <v>0</v>
          </cell>
        </row>
        <row r="44">
          <cell r="L44">
            <v>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2062</v>
          </cell>
        </row>
        <row r="48">
          <cell r="L48">
            <v>0</v>
          </cell>
        </row>
        <row r="49">
          <cell r="L49">
            <v>546</v>
          </cell>
        </row>
        <row r="50">
          <cell r="L50">
            <v>420</v>
          </cell>
        </row>
        <row r="51">
          <cell r="L51">
            <v>50</v>
          </cell>
        </row>
        <row r="52">
          <cell r="L52">
            <v>0</v>
          </cell>
        </row>
        <row r="53">
          <cell r="L53">
            <v>0</v>
          </cell>
        </row>
        <row r="54">
          <cell r="L54">
            <v>176</v>
          </cell>
        </row>
        <row r="55">
          <cell r="L55">
            <v>0</v>
          </cell>
        </row>
        <row r="56">
          <cell r="L56">
            <v>1400</v>
          </cell>
        </row>
        <row r="57">
          <cell r="L57">
            <v>1711.875</v>
          </cell>
        </row>
        <row r="58">
          <cell r="L58">
            <v>3151.75</v>
          </cell>
        </row>
        <row r="59">
          <cell r="L59">
            <v>0</v>
          </cell>
        </row>
        <row r="60">
          <cell r="L60">
            <v>255</v>
          </cell>
        </row>
        <row r="61">
          <cell r="L61">
            <v>6640.25</v>
          </cell>
        </row>
        <row r="62">
          <cell r="L62">
            <v>105</v>
          </cell>
        </row>
        <row r="63">
          <cell r="L63">
            <v>189</v>
          </cell>
        </row>
        <row r="64">
          <cell r="L64">
            <v>10733.625</v>
          </cell>
        </row>
        <row r="65">
          <cell r="L65">
            <v>1959.5</v>
          </cell>
        </row>
        <row r="66">
          <cell r="L66">
            <v>511.875</v>
          </cell>
        </row>
        <row r="67">
          <cell r="L67">
            <v>0</v>
          </cell>
        </row>
        <row r="68">
          <cell r="L68" t="str">
            <v/>
          </cell>
        </row>
        <row r="69">
          <cell r="L69" t="str">
            <v/>
          </cell>
        </row>
        <row r="70">
          <cell r="L70" t="str">
            <v/>
          </cell>
        </row>
        <row r="71">
          <cell r="L71" t="str">
            <v/>
          </cell>
        </row>
        <row r="72">
          <cell r="L72" t="str">
            <v/>
          </cell>
        </row>
        <row r="73">
          <cell r="L73" t="str">
            <v/>
          </cell>
        </row>
        <row r="74">
          <cell r="L74" t="str">
            <v/>
          </cell>
        </row>
        <row r="75">
          <cell r="L75" t="str">
            <v/>
          </cell>
        </row>
        <row r="76">
          <cell r="L76" t="str">
            <v/>
          </cell>
        </row>
        <row r="77">
          <cell r="L77" t="str">
            <v/>
          </cell>
        </row>
        <row r="78">
          <cell r="L78" t="str">
            <v/>
          </cell>
        </row>
        <row r="79">
          <cell r="L79" t="str">
            <v/>
          </cell>
        </row>
        <row r="80">
          <cell r="L80" t="str">
            <v/>
          </cell>
        </row>
        <row r="81">
          <cell r="L81" t="str">
            <v/>
          </cell>
        </row>
        <row r="82">
          <cell r="L82" t="str">
            <v/>
          </cell>
        </row>
        <row r="83">
          <cell r="L83" t="str">
            <v/>
          </cell>
        </row>
        <row r="84">
          <cell r="L84" t="str">
            <v/>
          </cell>
        </row>
        <row r="85">
          <cell r="L85" t="str">
            <v/>
          </cell>
        </row>
        <row r="86">
          <cell r="L86" t="str">
            <v/>
          </cell>
        </row>
        <row r="87">
          <cell r="L87" t="str">
            <v/>
          </cell>
        </row>
        <row r="88">
          <cell r="L88" t="str">
            <v/>
          </cell>
        </row>
        <row r="89">
          <cell r="L89" t="str">
            <v/>
          </cell>
        </row>
        <row r="90">
          <cell r="L90" t="str">
            <v/>
          </cell>
        </row>
        <row r="91">
          <cell r="L91" t="str">
            <v/>
          </cell>
        </row>
        <row r="92">
          <cell r="L92" t="str">
            <v/>
          </cell>
        </row>
        <row r="93">
          <cell r="L93" t="str">
            <v/>
          </cell>
        </row>
        <row r="94">
          <cell r="L94" t="str">
            <v/>
          </cell>
        </row>
        <row r="95">
          <cell r="L95" t="str">
            <v/>
          </cell>
        </row>
        <row r="96">
          <cell r="L96" t="str">
            <v/>
          </cell>
        </row>
        <row r="97">
          <cell r="L97" t="str">
            <v/>
          </cell>
        </row>
        <row r="98">
          <cell r="L98" t="str">
            <v/>
          </cell>
        </row>
        <row r="99">
          <cell r="L99" t="str">
            <v/>
          </cell>
        </row>
        <row r="100">
          <cell r="L100" t="str">
            <v/>
          </cell>
        </row>
      </sheetData>
      <sheetData sheetId="3" refreshError="1"/>
      <sheetData sheetId="4" refreshError="1"/>
      <sheetData sheetId="5" refreshError="1"/>
      <sheetData sheetId="6"/>
      <sheetData sheetId="7">
        <row r="1">
          <cell r="A1" t="str">
            <v>Player 1</v>
          </cell>
        </row>
        <row r="2">
          <cell r="A2" t="str">
            <v>Jørgen Sørli</v>
          </cell>
        </row>
        <row r="3">
          <cell r="A3" t="str">
            <v>Ferdinand Marnburg</v>
          </cell>
        </row>
        <row r="4">
          <cell r="A4" t="str">
            <v>Tonny Albrigtsen</v>
          </cell>
        </row>
        <row r="5">
          <cell r="A5" t="str">
            <v>Parco Au</v>
          </cell>
        </row>
        <row r="6">
          <cell r="A6" t="str">
            <v>Baard Hübert</v>
          </cell>
        </row>
        <row r="7">
          <cell r="A7" t="str">
            <v>Tormod Lang</v>
          </cell>
        </row>
        <row r="8">
          <cell r="A8" t="str">
            <v>Anders Søberg</v>
          </cell>
        </row>
        <row r="9">
          <cell r="A9" t="str">
            <v>Baard Hübert</v>
          </cell>
        </row>
        <row r="10">
          <cell r="A10" t="str">
            <v>Manuel Hlavinka</v>
          </cell>
        </row>
        <row r="11">
          <cell r="A11" t="str">
            <v>Erik Bergseth</v>
          </cell>
        </row>
        <row r="12">
          <cell r="A12" t="str">
            <v>Joakim Aarseth</v>
          </cell>
        </row>
        <row r="13">
          <cell r="A13" t="str">
            <v>Parco Au</v>
          </cell>
        </row>
        <row r="14">
          <cell r="A14" t="str">
            <v>Baard Hübert</v>
          </cell>
        </row>
        <row r="15">
          <cell r="A15" t="str">
            <v>Anders Søberg</v>
          </cell>
        </row>
        <row r="16">
          <cell r="A16" t="str">
            <v>Tonny Albrigtsen</v>
          </cell>
        </row>
        <row r="17">
          <cell r="A17" t="str">
            <v>Manuel Hlavinka</v>
          </cell>
        </row>
        <row r="18">
          <cell r="A18" t="str">
            <v>Kenneth Pedersen</v>
          </cell>
        </row>
        <row r="19">
          <cell r="A19" t="str">
            <v>Jørgen Sørli</v>
          </cell>
        </row>
        <row r="20">
          <cell r="A20" t="str">
            <v>Baard Hübert</v>
          </cell>
        </row>
        <row r="21">
          <cell r="A21" t="str">
            <v>Tonny Albrigtsen</v>
          </cell>
        </row>
        <row r="22">
          <cell r="A22" t="str">
            <v>Tormod Lang</v>
          </cell>
        </row>
        <row r="23">
          <cell r="A23" t="str">
            <v>Manuel Hlavinka</v>
          </cell>
        </row>
        <row r="24">
          <cell r="A24" t="str">
            <v>Bendik Hansen</v>
          </cell>
        </row>
        <row r="25">
          <cell r="A25" t="str">
            <v>Erik Bergseth</v>
          </cell>
        </row>
        <row r="26">
          <cell r="A26" t="str">
            <v>Tormod Lang</v>
          </cell>
        </row>
        <row r="27">
          <cell r="A27" t="str">
            <v>Anders Søberg</v>
          </cell>
        </row>
        <row r="28">
          <cell r="A28" t="str">
            <v>Anders Søberg</v>
          </cell>
        </row>
        <row r="29">
          <cell r="A29" t="str">
            <v>Manuel Hlavinka</v>
          </cell>
        </row>
        <row r="30">
          <cell r="A30" t="str">
            <v>Tonny Albrigtsen</v>
          </cell>
        </row>
        <row r="31">
          <cell r="A31" t="str">
            <v>Erik Bergseth</v>
          </cell>
        </row>
        <row r="32">
          <cell r="A32" t="str">
            <v>Tonny Albrigtsen</v>
          </cell>
        </row>
        <row r="33">
          <cell r="A33" t="str">
            <v>Bendik Hansen</v>
          </cell>
        </row>
        <row r="34">
          <cell r="A34" t="str">
            <v>Anders Søberg</v>
          </cell>
        </row>
        <row r="35">
          <cell r="A35" t="str">
            <v>Baard Hübert</v>
          </cell>
        </row>
        <row r="36">
          <cell r="A36" t="str">
            <v>Anders Christie</v>
          </cell>
        </row>
        <row r="37">
          <cell r="A37" t="str">
            <v>Anders Søberg</v>
          </cell>
        </row>
        <row r="38">
          <cell r="A38" t="str">
            <v>Baard Hübert</v>
          </cell>
        </row>
        <row r="39">
          <cell r="A39" t="str">
            <v>Manuel Hlavinka</v>
          </cell>
        </row>
        <row r="40">
          <cell r="A40" t="str">
            <v>Baard Hübert</v>
          </cell>
        </row>
        <row r="41">
          <cell r="A41" t="str">
            <v>Søren Hunskaar</v>
          </cell>
        </row>
        <row r="42">
          <cell r="A42" t="str">
            <v>Erik Bergseth</v>
          </cell>
        </row>
        <row r="43">
          <cell r="A43" t="str">
            <v>Noor Othmani</v>
          </cell>
        </row>
        <row r="44">
          <cell r="A44" t="str">
            <v>Anders Christie</v>
          </cell>
        </row>
        <row r="45">
          <cell r="A45" t="str">
            <v>Baard Hübert</v>
          </cell>
        </row>
        <row r="46">
          <cell r="A46" t="str">
            <v>Erik Bergseth</v>
          </cell>
        </row>
        <row r="47">
          <cell r="A47" t="str">
            <v>Søren Hunskaar</v>
          </cell>
        </row>
        <row r="48">
          <cell r="A48" t="str">
            <v>Bendik Hansen</v>
          </cell>
        </row>
        <row r="49">
          <cell r="A49" t="str">
            <v>Noor Othmani</v>
          </cell>
        </row>
        <row r="50">
          <cell r="A50" t="str">
            <v>Søren Hunskaar</v>
          </cell>
        </row>
        <row r="51">
          <cell r="A51" t="str">
            <v>Parco Au</v>
          </cell>
        </row>
        <row r="52">
          <cell r="A52" t="str">
            <v>Baard Hübert</v>
          </cell>
        </row>
        <row r="53">
          <cell r="A53" t="str">
            <v>Noor Othmani</v>
          </cell>
        </row>
        <row r="54">
          <cell r="A54" t="str">
            <v>Anders Christie</v>
          </cell>
        </row>
        <row r="55">
          <cell r="A55" t="str">
            <v>Søren Hunskaar</v>
          </cell>
        </row>
        <row r="56">
          <cell r="A56" t="str">
            <v>Bjørnar Funderud</v>
          </cell>
        </row>
        <row r="57">
          <cell r="A57" t="str">
            <v>Noor Othmani</v>
          </cell>
        </row>
        <row r="58">
          <cell r="A58" t="str">
            <v>Baard Hübert</v>
          </cell>
        </row>
        <row r="59">
          <cell r="A59" t="str">
            <v>Tonny Albrigtsen</v>
          </cell>
        </row>
        <row r="60">
          <cell r="A60" t="str">
            <v>Torgeir Lebesbye</v>
          </cell>
        </row>
        <row r="61">
          <cell r="A61" t="str">
            <v>Erik Bergseth</v>
          </cell>
        </row>
        <row r="62">
          <cell r="A62" t="str">
            <v>Noor Othmani</v>
          </cell>
        </row>
        <row r="63">
          <cell r="A63" t="str">
            <v>Søren Hunskaar</v>
          </cell>
        </row>
        <row r="64">
          <cell r="A64" t="str">
            <v>Torgeir Lebesbye</v>
          </cell>
        </row>
        <row r="65">
          <cell r="A65" t="str">
            <v>Anders Christie</v>
          </cell>
        </row>
        <row r="66">
          <cell r="A66" t="str">
            <v>Haiko Zwart</v>
          </cell>
        </row>
        <row r="67">
          <cell r="A67" t="str">
            <v>Erik Bergseth</v>
          </cell>
        </row>
        <row r="68">
          <cell r="A68" t="str">
            <v>Søren Hunskaar</v>
          </cell>
        </row>
        <row r="69">
          <cell r="A69" t="str">
            <v>Tonny Albrigtsen</v>
          </cell>
        </row>
        <row r="70">
          <cell r="A70" t="str">
            <v>Haiko Zwart</v>
          </cell>
        </row>
        <row r="71">
          <cell r="A71" t="str">
            <v>Manuel Hlavinka</v>
          </cell>
        </row>
        <row r="72">
          <cell r="A72" t="str">
            <v>Noor Othmani</v>
          </cell>
        </row>
        <row r="73">
          <cell r="A73" t="str">
            <v>Søren Hunskaar</v>
          </cell>
        </row>
        <row r="74">
          <cell r="A74" t="str">
            <v>Tonny Albrigtsen</v>
          </cell>
        </row>
        <row r="75">
          <cell r="A75" t="str">
            <v>Anders Christie</v>
          </cell>
        </row>
        <row r="76">
          <cell r="A76" t="str">
            <v>Manuel Hlavinka</v>
          </cell>
        </row>
        <row r="77">
          <cell r="A77" t="str">
            <v>Torgeir Lebesbye</v>
          </cell>
        </row>
        <row r="78">
          <cell r="A78" t="str">
            <v>Stian Fuglaas</v>
          </cell>
        </row>
        <row r="79">
          <cell r="A79" t="str">
            <v>Ferdinand Marnburg</v>
          </cell>
        </row>
        <row r="80">
          <cell r="A80" t="str">
            <v>Martin Lindboe</v>
          </cell>
        </row>
        <row r="81">
          <cell r="A81" t="str">
            <v>Johannes Bang</v>
          </cell>
        </row>
        <row r="82">
          <cell r="A82" t="str">
            <v>Anders Christie</v>
          </cell>
        </row>
        <row r="83">
          <cell r="A83" t="str">
            <v>William Kvisli</v>
          </cell>
        </row>
        <row r="84">
          <cell r="A84" t="str">
            <v>Tonny Albrigtsen</v>
          </cell>
        </row>
        <row r="85">
          <cell r="A85" t="str">
            <v>Haiko Zwart</v>
          </cell>
        </row>
        <row r="86">
          <cell r="A86" t="str">
            <v>Manuel Hlavinka</v>
          </cell>
        </row>
        <row r="87">
          <cell r="A87" t="str">
            <v>Anders Søberg</v>
          </cell>
        </row>
        <row r="88">
          <cell r="A88" t="str">
            <v>Søren Hunskaar</v>
          </cell>
        </row>
        <row r="89">
          <cell r="A89" t="str">
            <v>Austin Byron Moore</v>
          </cell>
        </row>
        <row r="90">
          <cell r="A90" t="str">
            <v>Anders Christie</v>
          </cell>
        </row>
        <row r="91">
          <cell r="A91" t="str">
            <v>Tormod Lang</v>
          </cell>
        </row>
        <row r="92">
          <cell r="A92" t="str">
            <v>William Kvisli</v>
          </cell>
        </row>
        <row r="93">
          <cell r="A93" t="str">
            <v>Haiko Zwart</v>
          </cell>
        </row>
        <row r="94">
          <cell r="A94" t="str">
            <v>Anders Christie</v>
          </cell>
        </row>
        <row r="95">
          <cell r="A95" t="str">
            <v>Austin Byron Moore</v>
          </cell>
        </row>
        <row r="96">
          <cell r="A96" t="str">
            <v>Kenneth Pedersen</v>
          </cell>
        </row>
        <row r="97">
          <cell r="A97" t="str">
            <v>Martin Lindboe</v>
          </cell>
        </row>
        <row r="98">
          <cell r="A98" t="str">
            <v>Stian Fuglaas</v>
          </cell>
        </row>
        <row r="99">
          <cell r="A99" t="str">
            <v>Søren Hunskaar</v>
          </cell>
        </row>
        <row r="100">
          <cell r="A100" t="str">
            <v>Johannes Bang</v>
          </cell>
        </row>
        <row r="101">
          <cell r="A101" t="str">
            <v>Anders Christie</v>
          </cell>
        </row>
        <row r="102">
          <cell r="A102" t="str">
            <v>Austin Byron Moore</v>
          </cell>
        </row>
        <row r="103">
          <cell r="A103" t="str">
            <v>Stian Fuglaas</v>
          </cell>
        </row>
        <row r="104">
          <cell r="A104" t="str">
            <v>Manuel Hlavinka</v>
          </cell>
        </row>
        <row r="105">
          <cell r="A105" t="str">
            <v>Tonny Albrigtsen</v>
          </cell>
        </row>
        <row r="106">
          <cell r="A106" t="str">
            <v>Martin Lindboe</v>
          </cell>
        </row>
        <row r="107">
          <cell r="A107" t="str">
            <v>Anders Søberg</v>
          </cell>
        </row>
        <row r="108">
          <cell r="A108" t="str">
            <v>Anders Christie</v>
          </cell>
        </row>
        <row r="109">
          <cell r="A109" t="str">
            <v>Tonny Albrigtsen</v>
          </cell>
        </row>
        <row r="110">
          <cell r="A110" t="str">
            <v>Jørgen Sørli</v>
          </cell>
        </row>
        <row r="111">
          <cell r="A111" t="str">
            <v>Giacomo Pesci</v>
          </cell>
        </row>
        <row r="112">
          <cell r="A112" t="str">
            <v>Søren Hunskaar</v>
          </cell>
        </row>
        <row r="113">
          <cell r="A113" t="str">
            <v>Joakim Aarseth</v>
          </cell>
        </row>
        <row r="114">
          <cell r="A114" t="str">
            <v>Søren Hunskaar</v>
          </cell>
        </row>
        <row r="115">
          <cell r="A115" t="str">
            <v>Haiko Zwart</v>
          </cell>
        </row>
        <row r="116">
          <cell r="A116" t="str">
            <v>Stian Fuglaas</v>
          </cell>
        </row>
        <row r="117">
          <cell r="A117" t="str">
            <v>Bendik Hansen</v>
          </cell>
        </row>
        <row r="118">
          <cell r="A118" t="str">
            <v>Joakim Aarseth</v>
          </cell>
        </row>
        <row r="119">
          <cell r="A119" t="str">
            <v>Jørgen Sørli</v>
          </cell>
        </row>
        <row r="120">
          <cell r="A120" t="str">
            <v>Giacomo Pesci</v>
          </cell>
        </row>
        <row r="121">
          <cell r="A121" t="str">
            <v>Martin Lindboe</v>
          </cell>
        </row>
        <row r="122">
          <cell r="A122" t="str">
            <v>Haiko Zwart</v>
          </cell>
        </row>
        <row r="123">
          <cell r="A123" t="str">
            <v>Søren Hunskaar</v>
          </cell>
        </row>
        <row r="124">
          <cell r="A124" t="str">
            <v>Anders Christie</v>
          </cell>
        </row>
        <row r="125">
          <cell r="A125" t="str">
            <v>Bendik Hansen</v>
          </cell>
        </row>
        <row r="126">
          <cell r="A126" t="str">
            <v>Giacomo Pesci</v>
          </cell>
        </row>
        <row r="127">
          <cell r="A127" t="str">
            <v>Manuel Hlavinka</v>
          </cell>
        </row>
        <row r="128">
          <cell r="A128" t="str">
            <v>Stian Fuglaas</v>
          </cell>
        </row>
        <row r="129">
          <cell r="A129" t="str">
            <v>Tonny Albrigtsen</v>
          </cell>
        </row>
        <row r="130">
          <cell r="A130" t="str">
            <v>Haiko Zwart</v>
          </cell>
        </row>
        <row r="131">
          <cell r="A131" t="str">
            <v>Benedikte Zwart</v>
          </cell>
        </row>
        <row r="132">
          <cell r="A132" t="str">
            <v>Tonny Albrigtsen</v>
          </cell>
        </row>
        <row r="133">
          <cell r="A133" t="str">
            <v>Tormod Lang</v>
          </cell>
        </row>
        <row r="134">
          <cell r="A134" t="str">
            <v>Baard Hübert</v>
          </cell>
        </row>
        <row r="135">
          <cell r="A135" t="str">
            <v>Manuel Hlavinka</v>
          </cell>
        </row>
        <row r="136">
          <cell r="A136" t="str">
            <v>Anders Søberg</v>
          </cell>
        </row>
        <row r="137">
          <cell r="A137" t="str">
            <v>Johannes Bang</v>
          </cell>
        </row>
        <row r="138">
          <cell r="A138" t="str">
            <v>Kenneth Pedersen</v>
          </cell>
        </row>
        <row r="139">
          <cell r="A139" t="str">
            <v>Giacomo Pesci</v>
          </cell>
        </row>
        <row r="140">
          <cell r="A140" t="str">
            <v>Benedikte Zwart</v>
          </cell>
        </row>
        <row r="141">
          <cell r="A141" t="str">
            <v>Jørgen Sørli</v>
          </cell>
        </row>
        <row r="142">
          <cell r="A142" t="str">
            <v>Kenneth Pedersen</v>
          </cell>
        </row>
        <row r="143">
          <cell r="A143" t="str">
            <v>Tormod Lang</v>
          </cell>
        </row>
        <row r="144">
          <cell r="A144" t="str">
            <v>Manuel Hlavinka</v>
          </cell>
        </row>
        <row r="145">
          <cell r="A145" t="str">
            <v>Søren Hunskaar</v>
          </cell>
        </row>
        <row r="146">
          <cell r="A146" t="str">
            <v>Parco Au</v>
          </cell>
        </row>
        <row r="147">
          <cell r="A147" t="str">
            <v>Andreas Karlsen</v>
          </cell>
        </row>
        <row r="148">
          <cell r="A148" t="str">
            <v>Erik Bergseth</v>
          </cell>
        </row>
        <row r="149">
          <cell r="A149" t="str">
            <v>Kenneth Pedersen</v>
          </cell>
        </row>
        <row r="150">
          <cell r="A150" t="str">
            <v>Tormod Lang</v>
          </cell>
        </row>
        <row r="151">
          <cell r="A151" t="str">
            <v>Johannes Bang</v>
          </cell>
        </row>
        <row r="152">
          <cell r="A152" t="str">
            <v>Tom Sondre Albrigsten</v>
          </cell>
        </row>
        <row r="153">
          <cell r="A153" t="str">
            <v>Tonny Albrigtsen</v>
          </cell>
        </row>
        <row r="154">
          <cell r="A154" t="str">
            <v>Erik Bergseth</v>
          </cell>
        </row>
        <row r="155">
          <cell r="A155" t="str">
            <v>Anders Søberg</v>
          </cell>
        </row>
        <row r="156">
          <cell r="A156" t="str">
            <v>Haiko Zwart</v>
          </cell>
        </row>
        <row r="157">
          <cell r="A157" t="str">
            <v>Parco Au</v>
          </cell>
        </row>
        <row r="158">
          <cell r="A158" t="str">
            <v>Tormod Lang</v>
          </cell>
        </row>
        <row r="159">
          <cell r="A159" t="str">
            <v>Baard Hübert</v>
          </cell>
        </row>
        <row r="160">
          <cell r="A160" t="str">
            <v>Benedikte Zwart</v>
          </cell>
        </row>
        <row r="161">
          <cell r="A161" t="str">
            <v>Jørgen Sørli</v>
          </cell>
        </row>
        <row r="162">
          <cell r="A162" t="str">
            <v>Anders Søberg</v>
          </cell>
        </row>
        <row r="163">
          <cell r="A163" t="str">
            <v>Giacomo Pesci</v>
          </cell>
        </row>
        <row r="164">
          <cell r="A164" t="str">
            <v>Joakim Aarseth</v>
          </cell>
        </row>
        <row r="165">
          <cell r="A165" t="str">
            <v>Parco Au</v>
          </cell>
        </row>
        <row r="166">
          <cell r="A166" t="str">
            <v>Andreas Karlsen</v>
          </cell>
        </row>
        <row r="167">
          <cell r="A167" t="str">
            <v>Serina Koch</v>
          </cell>
        </row>
        <row r="168">
          <cell r="A168" t="str">
            <v>Anders Christie</v>
          </cell>
        </row>
        <row r="169">
          <cell r="A169" t="str">
            <v>Jørgen Sørli</v>
          </cell>
        </row>
        <row r="170">
          <cell r="A170" t="str">
            <v>Haiko Zwart</v>
          </cell>
        </row>
        <row r="171">
          <cell r="A171" t="str">
            <v>Joakim Aarseth</v>
          </cell>
        </row>
        <row r="172">
          <cell r="A172" t="str">
            <v>Tonny Albrigtsen</v>
          </cell>
        </row>
        <row r="173">
          <cell r="A173" t="str">
            <v>Giacomo Pesci</v>
          </cell>
        </row>
        <row r="174">
          <cell r="A174" t="str">
            <v>Martin Lindboe</v>
          </cell>
        </row>
        <row r="175">
          <cell r="A175" t="str">
            <v>Kenneth Pedersen</v>
          </cell>
        </row>
        <row r="176">
          <cell r="A176" t="str">
            <v>Joakim Aarseth</v>
          </cell>
        </row>
        <row r="177">
          <cell r="A177" t="str">
            <v>Jørgen Sørli</v>
          </cell>
        </row>
        <row r="178">
          <cell r="A178" t="str">
            <v>Serina Koch</v>
          </cell>
        </row>
        <row r="179">
          <cell r="A179" t="str">
            <v>Anders Christie</v>
          </cell>
        </row>
        <row r="180">
          <cell r="A180" t="str">
            <v>Andreas Karlsen</v>
          </cell>
        </row>
        <row r="181">
          <cell r="A181" t="str">
            <v>Giacomo Pesci</v>
          </cell>
        </row>
        <row r="182">
          <cell r="A182" t="str">
            <v>Tonny Albrigtsen</v>
          </cell>
        </row>
        <row r="183">
          <cell r="A183" t="str">
            <v>Serina Koch</v>
          </cell>
        </row>
        <row r="184">
          <cell r="A184" t="str">
            <v>Anders Søberg</v>
          </cell>
        </row>
        <row r="185">
          <cell r="A185" t="str">
            <v>Anders Christie</v>
          </cell>
        </row>
        <row r="186">
          <cell r="A186" t="str">
            <v>Jørgen Sørli</v>
          </cell>
        </row>
        <row r="187">
          <cell r="A187" t="str">
            <v>Tonny Albrigtsen</v>
          </cell>
        </row>
        <row r="188">
          <cell r="A188" t="str">
            <v>Anders Søberg</v>
          </cell>
        </row>
        <row r="189">
          <cell r="A189" t="str">
            <v>Manuel Hlavinka</v>
          </cell>
        </row>
        <row r="190">
          <cell r="A190" t="str">
            <v>Kenneth Pedersen</v>
          </cell>
        </row>
        <row r="191">
          <cell r="A191" t="str">
            <v>Jørgen Sørli</v>
          </cell>
        </row>
        <row r="192">
          <cell r="A192" t="str">
            <v>Søren Hunskaar</v>
          </cell>
        </row>
        <row r="193">
          <cell r="A193" t="str">
            <v>Joakim Aarseth</v>
          </cell>
        </row>
        <row r="194">
          <cell r="A194" t="str">
            <v>Stian Fuglaas</v>
          </cell>
        </row>
        <row r="195">
          <cell r="A195" t="str">
            <v>Bendik Hansen</v>
          </cell>
        </row>
        <row r="196">
          <cell r="A196" t="str">
            <v>Parco Au</v>
          </cell>
        </row>
        <row r="197">
          <cell r="A197" t="str">
            <v>Jørgen Sørli</v>
          </cell>
        </row>
        <row r="198">
          <cell r="A198" t="str">
            <v>Søren Hunskaar</v>
          </cell>
        </row>
        <row r="199">
          <cell r="A199" t="str">
            <v>Manuel Hlavinka</v>
          </cell>
        </row>
        <row r="200">
          <cell r="A200" t="str">
            <v>Anders Christie</v>
          </cell>
        </row>
        <row r="201">
          <cell r="A201" t="str">
            <v>Baard Hübert</v>
          </cell>
        </row>
        <row r="202">
          <cell r="A202" t="str">
            <v>Joakim Aarseth</v>
          </cell>
        </row>
        <row r="203">
          <cell r="A203" t="str">
            <v>Jørgen Sørli</v>
          </cell>
        </row>
        <row r="204">
          <cell r="A204" t="str">
            <v>Manuel Hlavinka</v>
          </cell>
        </row>
        <row r="205">
          <cell r="A205" t="str">
            <v>Anders Christie</v>
          </cell>
        </row>
        <row r="206">
          <cell r="A206" t="str">
            <v>Giacomo Pesci</v>
          </cell>
        </row>
        <row r="207">
          <cell r="A207" t="str">
            <v>Anders Søberg</v>
          </cell>
        </row>
        <row r="208">
          <cell r="A208" t="str">
            <v>Bendik Hansen</v>
          </cell>
        </row>
        <row r="209">
          <cell r="A209" t="str">
            <v>Stian Fuglaas</v>
          </cell>
        </row>
        <row r="210">
          <cell r="A210" t="str">
            <v>Manuel Hlavinka</v>
          </cell>
        </row>
        <row r="211">
          <cell r="A211" t="str">
            <v>Giacomo Pesci</v>
          </cell>
        </row>
        <row r="212">
          <cell r="A212" t="str">
            <v>Parco Au</v>
          </cell>
        </row>
        <row r="213">
          <cell r="A213" t="str">
            <v>Søren Hunskaar</v>
          </cell>
        </row>
        <row r="214">
          <cell r="A214" t="str">
            <v>Joakim Aarseth</v>
          </cell>
        </row>
        <row r="215">
          <cell r="A215" t="str">
            <v>Bendik Hansen</v>
          </cell>
        </row>
        <row r="216">
          <cell r="A216" t="str">
            <v>William Kvisli</v>
          </cell>
        </row>
        <row r="217">
          <cell r="A217" t="str">
            <v>Anders Søberg</v>
          </cell>
        </row>
        <row r="218">
          <cell r="A218" t="str">
            <v>Bjørnar Funderud</v>
          </cell>
        </row>
        <row r="219">
          <cell r="A219" t="str">
            <v>Kenneth Pedersen</v>
          </cell>
        </row>
        <row r="220">
          <cell r="A220" t="str">
            <v>Martin Lindboe</v>
          </cell>
        </row>
        <row r="221">
          <cell r="A221" t="str">
            <v>William Kvisli</v>
          </cell>
        </row>
        <row r="222">
          <cell r="A222" t="str">
            <v>Søren Hunskaar</v>
          </cell>
        </row>
        <row r="223">
          <cell r="A223" t="str">
            <v>Tormod Lang</v>
          </cell>
        </row>
        <row r="224">
          <cell r="A224" t="str">
            <v>Joakim Aarseth</v>
          </cell>
        </row>
        <row r="225">
          <cell r="A225" t="str">
            <v>Baard Hübert</v>
          </cell>
        </row>
        <row r="226">
          <cell r="A226" t="str">
            <v>Martin Lindboe</v>
          </cell>
        </row>
        <row r="227">
          <cell r="A227" t="str">
            <v>Bjørnar Funderud</v>
          </cell>
        </row>
        <row r="228">
          <cell r="A228" t="str">
            <v>Kenneth Pedersen</v>
          </cell>
        </row>
        <row r="229">
          <cell r="A229" t="str">
            <v>Peter Magnus Bråss</v>
          </cell>
        </row>
        <row r="230">
          <cell r="A230" t="str">
            <v>Tonny Albrigtsen</v>
          </cell>
        </row>
        <row r="231">
          <cell r="A231" t="str">
            <v>William Kvisli</v>
          </cell>
        </row>
        <row r="232">
          <cell r="A232" t="str">
            <v>Anders Christie</v>
          </cell>
        </row>
        <row r="233">
          <cell r="A233" t="str">
            <v>Søren Hunskaar</v>
          </cell>
        </row>
        <row r="234">
          <cell r="A234" t="str">
            <v>Kenneth Pedersen</v>
          </cell>
        </row>
        <row r="235">
          <cell r="A235" t="str">
            <v>Tormod Lang</v>
          </cell>
        </row>
        <row r="236">
          <cell r="A236" t="str">
            <v>Anders Søberg</v>
          </cell>
        </row>
        <row r="237">
          <cell r="A237" t="str">
            <v>Joakim Aarseth</v>
          </cell>
        </row>
        <row r="238">
          <cell r="A238" t="str">
            <v>Bendik Hansen</v>
          </cell>
        </row>
        <row r="239">
          <cell r="A239" t="str">
            <v>Jørgen Sørli</v>
          </cell>
        </row>
        <row r="240">
          <cell r="A240" t="str">
            <v>Tonny Albrigtsen</v>
          </cell>
        </row>
        <row r="241">
          <cell r="A241" t="str">
            <v>Anders Søberg</v>
          </cell>
        </row>
        <row r="242">
          <cell r="A242" t="str">
            <v>Anders Christie</v>
          </cell>
        </row>
        <row r="243">
          <cell r="A243" t="str">
            <v>Kenneth Pedersen</v>
          </cell>
        </row>
        <row r="244">
          <cell r="A244" t="str">
            <v>Giacomo Pesci</v>
          </cell>
        </row>
        <row r="245">
          <cell r="A245" t="str">
            <v>Anders Christie</v>
          </cell>
        </row>
        <row r="246">
          <cell r="A246" t="str">
            <v>William Kvisli</v>
          </cell>
        </row>
        <row r="247">
          <cell r="A247" t="str">
            <v>Jørgen Sørli</v>
          </cell>
        </row>
        <row r="248">
          <cell r="A248" t="str">
            <v>Parco Au</v>
          </cell>
        </row>
        <row r="249">
          <cell r="A249" t="str">
            <v>Giacomo Pesci</v>
          </cell>
        </row>
        <row r="250">
          <cell r="A250" t="str">
            <v>Austin Byron Moore</v>
          </cell>
        </row>
        <row r="251">
          <cell r="A251" t="str">
            <v>Erik Bergseth</v>
          </cell>
        </row>
        <row r="252">
          <cell r="A252" t="str">
            <v>William Kvisli</v>
          </cell>
        </row>
        <row r="253">
          <cell r="A253" t="str">
            <v>Parco Au</v>
          </cell>
        </row>
        <row r="254">
          <cell r="A254" t="str">
            <v>Kenneth Pedersen</v>
          </cell>
        </row>
        <row r="255">
          <cell r="A255" t="str">
            <v>Anders Søberg</v>
          </cell>
        </row>
        <row r="256">
          <cell r="A256" t="str">
            <v>Erik Bergseth</v>
          </cell>
        </row>
        <row r="257">
          <cell r="A257" t="str">
            <v>Anders Christie</v>
          </cell>
        </row>
        <row r="258">
          <cell r="A258" t="str">
            <v>Tormod Lang</v>
          </cell>
        </row>
        <row r="259">
          <cell r="A259" t="str">
            <v>Austin Byron Moore</v>
          </cell>
        </row>
        <row r="260">
          <cell r="A260" t="str">
            <v>Parco Au</v>
          </cell>
        </row>
        <row r="261">
          <cell r="A261" t="str">
            <v>Anders Søberg</v>
          </cell>
        </row>
        <row r="262">
          <cell r="A262" t="str">
            <v>Stian Fuglaas</v>
          </cell>
        </row>
        <row r="263">
          <cell r="A263" t="str">
            <v>Tonny Albrigtsen</v>
          </cell>
        </row>
        <row r="264">
          <cell r="A264" t="str">
            <v>Jørgen Sørli</v>
          </cell>
        </row>
        <row r="265">
          <cell r="A265" t="str">
            <v>Tormod Lang</v>
          </cell>
        </row>
        <row r="266">
          <cell r="A266" t="str">
            <v>Peter Magnus Bråss</v>
          </cell>
        </row>
        <row r="267">
          <cell r="A267" t="str">
            <v>Tonny Albrigtsen</v>
          </cell>
        </row>
        <row r="268">
          <cell r="A268" t="str">
            <v>Jørgen Sørli</v>
          </cell>
        </row>
        <row r="269">
          <cell r="A269" t="str">
            <v>Peter Magnus Bråss</v>
          </cell>
        </row>
        <row r="270">
          <cell r="A270" t="str">
            <v>Erik Bergseth</v>
          </cell>
        </row>
        <row r="271">
          <cell r="A271" t="str">
            <v>Simen Walbaekken</v>
          </cell>
        </row>
        <row r="272">
          <cell r="A272" t="str">
            <v>Anders Christie</v>
          </cell>
        </row>
        <row r="273">
          <cell r="A273" t="str">
            <v>Tonny Albrigtsen</v>
          </cell>
        </row>
        <row r="274">
          <cell r="A274" t="str">
            <v>Jørgen Sørli</v>
          </cell>
        </row>
        <row r="275">
          <cell r="A275" t="str">
            <v>Anders Christie</v>
          </cell>
        </row>
        <row r="276">
          <cell r="A276" t="str">
            <v>Giacomo Pesci</v>
          </cell>
        </row>
        <row r="277">
          <cell r="A277" t="str">
            <v>Anders Søberg</v>
          </cell>
        </row>
        <row r="278">
          <cell r="A278" t="str">
            <v>Simen Walbaekken</v>
          </cell>
        </row>
        <row r="279">
          <cell r="A279" t="str">
            <v>Tonny Albrigtsen</v>
          </cell>
        </row>
        <row r="280">
          <cell r="A280" t="str">
            <v>Peter Magnus Bråss</v>
          </cell>
        </row>
        <row r="281">
          <cell r="A281" t="str">
            <v>Stian Fuglaas</v>
          </cell>
        </row>
        <row r="282">
          <cell r="A282" t="str">
            <v>Erik Bergseth</v>
          </cell>
        </row>
        <row r="283">
          <cell r="A283" t="str">
            <v>Manuel Hlavinka</v>
          </cell>
        </row>
        <row r="284">
          <cell r="A284" t="str">
            <v>Tormod Lang</v>
          </cell>
        </row>
        <row r="285">
          <cell r="A285" t="str">
            <v>Kenneth Pedersen</v>
          </cell>
        </row>
        <row r="286">
          <cell r="A286" t="str">
            <v>Giacomo Pesci</v>
          </cell>
        </row>
        <row r="287">
          <cell r="A287" t="str">
            <v>Anders Søberg</v>
          </cell>
        </row>
        <row r="288">
          <cell r="A288" t="str">
            <v>Parco Au</v>
          </cell>
        </row>
        <row r="289">
          <cell r="A289" t="str">
            <v>Tormod Lang</v>
          </cell>
        </row>
        <row r="290">
          <cell r="A290" t="str">
            <v>Martin Lindboe</v>
          </cell>
        </row>
        <row r="291">
          <cell r="A291" t="str">
            <v>Anders Søberg</v>
          </cell>
        </row>
        <row r="292">
          <cell r="A292" t="str">
            <v>Kenneth Pedersen</v>
          </cell>
        </row>
        <row r="293">
          <cell r="A293" t="str">
            <v>Johannes Bang</v>
          </cell>
        </row>
        <row r="294">
          <cell r="A294" t="str">
            <v>Anders Christie</v>
          </cell>
        </row>
        <row r="295">
          <cell r="A295" t="str">
            <v>Tormod Lang</v>
          </cell>
        </row>
        <row r="296">
          <cell r="A296" t="str">
            <v>Parco Au</v>
          </cell>
        </row>
        <row r="297">
          <cell r="A297" t="str">
            <v>Erik Bergseth</v>
          </cell>
        </row>
        <row r="298">
          <cell r="A298" t="str">
            <v>Kenneth Pedersen</v>
          </cell>
        </row>
        <row r="299">
          <cell r="A299" t="str">
            <v>Martin Lindboe</v>
          </cell>
        </row>
        <row r="300">
          <cell r="A300" t="str">
            <v>Tormod Lang</v>
          </cell>
        </row>
        <row r="301">
          <cell r="A301" t="str">
            <v>Anders Søberg</v>
          </cell>
        </row>
        <row r="302">
          <cell r="A302" t="str">
            <v>Martin Lindboe</v>
          </cell>
        </row>
        <row r="303">
          <cell r="A303" t="str">
            <v>Kenneth Pedersen</v>
          </cell>
        </row>
        <row r="304">
          <cell r="A304" t="str">
            <v>Andreas Karlsen</v>
          </cell>
        </row>
        <row r="305">
          <cell r="A305" t="str">
            <v>Erik Bergseth</v>
          </cell>
        </row>
        <row r="306">
          <cell r="A306" t="str">
            <v>Baard Hübert</v>
          </cell>
        </row>
        <row r="307">
          <cell r="A307" t="str">
            <v>Stian Fuglaas</v>
          </cell>
        </row>
        <row r="308">
          <cell r="A308" t="str">
            <v>Simen Walbaekken</v>
          </cell>
        </row>
        <row r="309">
          <cell r="A309" t="str">
            <v>Anders Christie</v>
          </cell>
        </row>
        <row r="310">
          <cell r="A310" t="str">
            <v>Andreas Karlsen</v>
          </cell>
        </row>
        <row r="311">
          <cell r="A311" t="str">
            <v>Anders Christie</v>
          </cell>
        </row>
        <row r="312">
          <cell r="A312" t="str">
            <v>Kenneth Pedersen</v>
          </cell>
        </row>
        <row r="313">
          <cell r="A313" t="str">
            <v>Stian Fuglaas</v>
          </cell>
        </row>
        <row r="314">
          <cell r="A314" t="str">
            <v>Tonny Albrigtsen</v>
          </cell>
        </row>
        <row r="315">
          <cell r="A315" t="str">
            <v>Tormod Lang</v>
          </cell>
        </row>
        <row r="316">
          <cell r="A316" t="str">
            <v>Anders Søberg</v>
          </cell>
        </row>
        <row r="317">
          <cell r="A317" t="str">
            <v>Anders Christie</v>
          </cell>
        </row>
        <row r="318">
          <cell r="A318" t="str">
            <v>Jørgen Sørli</v>
          </cell>
        </row>
        <row r="319">
          <cell r="A319" t="str">
            <v>Tonny Albrigtsen</v>
          </cell>
        </row>
        <row r="320">
          <cell r="A320" t="str">
            <v>Joakim Aarseth</v>
          </cell>
        </row>
        <row r="321">
          <cell r="A321" t="str">
            <v>Parco Au</v>
          </cell>
        </row>
        <row r="322">
          <cell r="A322" t="str">
            <v>Anders Søberg</v>
          </cell>
        </row>
        <row r="323">
          <cell r="A323" t="str">
            <v>Anders Christie</v>
          </cell>
        </row>
        <row r="324">
          <cell r="A324" t="str">
            <v>Andreas Karlsen</v>
          </cell>
        </row>
        <row r="325">
          <cell r="A325" t="str">
            <v>Tormod Lang</v>
          </cell>
        </row>
        <row r="326">
          <cell r="A326" t="str">
            <v>Jørgen Sørli</v>
          </cell>
        </row>
        <row r="327">
          <cell r="A327" t="str">
            <v>Kenneth Pedersen</v>
          </cell>
        </row>
        <row r="328">
          <cell r="A328" t="str">
            <v>Anders Christie</v>
          </cell>
        </row>
        <row r="329">
          <cell r="A329" t="str">
            <v>Anders Søberg</v>
          </cell>
        </row>
        <row r="330">
          <cell r="A330" t="str">
            <v>Baard Hübert</v>
          </cell>
        </row>
        <row r="331">
          <cell r="A331" t="str">
            <v>Jørgen Sørli</v>
          </cell>
        </row>
        <row r="332">
          <cell r="A332" t="str">
            <v>Baard Hübert</v>
          </cell>
        </row>
        <row r="333">
          <cell r="A333" t="str">
            <v>Tonny Albrigtsen</v>
          </cell>
        </row>
        <row r="334">
          <cell r="A334" t="str">
            <v>Kenneth Pedersen</v>
          </cell>
        </row>
        <row r="335">
          <cell r="A335" t="str">
            <v>Anders Søberg</v>
          </cell>
        </row>
        <row r="336">
          <cell r="A336" t="str">
            <v>Tormod Lang</v>
          </cell>
        </row>
        <row r="337">
          <cell r="A337" t="str">
            <v>Anders Christie</v>
          </cell>
        </row>
        <row r="338">
          <cell r="A338" t="str">
            <v>Søren Hunskaar</v>
          </cell>
        </row>
        <row r="339">
          <cell r="A339" t="str">
            <v>Manuel Hlavinka</v>
          </cell>
        </row>
        <row r="340">
          <cell r="A340" t="str">
            <v>Giacomo Pesci</v>
          </cell>
        </row>
        <row r="341">
          <cell r="A341" t="str">
            <v>Tormod Lang</v>
          </cell>
        </row>
        <row r="342">
          <cell r="A342" t="str">
            <v>Tonny Albrigtsen</v>
          </cell>
        </row>
        <row r="343">
          <cell r="A343" t="str">
            <v>Bendik Hansen</v>
          </cell>
        </row>
        <row r="344">
          <cell r="A344" t="str">
            <v>Giacomo Pesci</v>
          </cell>
        </row>
        <row r="345">
          <cell r="A345" t="str">
            <v>Anders Christie</v>
          </cell>
        </row>
        <row r="346">
          <cell r="A346" t="str">
            <v>Jørgen Sørli</v>
          </cell>
        </row>
        <row r="347">
          <cell r="A347" t="str">
            <v>Bendik Hansen</v>
          </cell>
        </row>
        <row r="348">
          <cell r="A348" t="str">
            <v>Anders Christie</v>
          </cell>
        </row>
        <row r="349">
          <cell r="A349" t="str">
            <v>Tormod Lang</v>
          </cell>
        </row>
        <row r="350">
          <cell r="A350" t="str">
            <v>Parco Au</v>
          </cell>
        </row>
        <row r="351">
          <cell r="A351" t="str">
            <v>Anders Christie</v>
          </cell>
        </row>
        <row r="352">
          <cell r="A352" t="str">
            <v>Tormod Lang</v>
          </cell>
        </row>
        <row r="353">
          <cell r="A353" t="str">
            <v>Giacomo Pesci</v>
          </cell>
        </row>
        <row r="354">
          <cell r="A354" t="str">
            <v>Joakim Aarseth</v>
          </cell>
        </row>
        <row r="355">
          <cell r="A355" t="str">
            <v>Anders Christie</v>
          </cell>
        </row>
        <row r="356">
          <cell r="A356" t="str">
            <v>Parco Au</v>
          </cell>
        </row>
        <row r="357">
          <cell r="A357" t="str">
            <v>Kenneth Pedersen</v>
          </cell>
        </row>
        <row r="358">
          <cell r="A358" t="str">
            <v>Joakim Aarseth</v>
          </cell>
        </row>
        <row r="359">
          <cell r="A359" t="str">
            <v>Giacomo Pesci</v>
          </cell>
        </row>
        <row r="360">
          <cell r="A360" t="str">
            <v>Kenneth Pedersen</v>
          </cell>
        </row>
        <row r="361">
          <cell r="A361" t="str">
            <v>Parco Au</v>
          </cell>
        </row>
        <row r="362">
          <cell r="A362" t="str">
            <v>Anders Søberg</v>
          </cell>
        </row>
        <row r="363">
          <cell r="A363" t="str">
            <v>Giacomo Pesci</v>
          </cell>
        </row>
        <row r="364">
          <cell r="A364" t="str">
            <v>Manuel Hlavinka</v>
          </cell>
        </row>
        <row r="365">
          <cell r="A365" t="str">
            <v>Gunnar Sivertsen</v>
          </cell>
        </row>
        <row r="366">
          <cell r="A366" t="str">
            <v>Tonny Albrigtsen</v>
          </cell>
        </row>
        <row r="367">
          <cell r="A367" t="str">
            <v>Stian Fuglaas</v>
          </cell>
        </row>
        <row r="368">
          <cell r="A368" t="str">
            <v>Stian Fuglaas</v>
          </cell>
        </row>
        <row r="369">
          <cell r="A369" t="str">
            <v>Giacomo Pesci</v>
          </cell>
        </row>
        <row r="370">
          <cell r="A370" t="str">
            <v>Bendik Hansen</v>
          </cell>
        </row>
        <row r="371">
          <cell r="A371" t="str">
            <v>Gunnar Sivertsen</v>
          </cell>
        </row>
        <row r="372">
          <cell r="A372" t="str">
            <v>Anders Søberg</v>
          </cell>
        </row>
        <row r="373">
          <cell r="A373" t="str">
            <v>Viktor Hegerberg</v>
          </cell>
        </row>
        <row r="374">
          <cell r="A374" t="str">
            <v>Giacomo Pesci</v>
          </cell>
        </row>
        <row r="375">
          <cell r="A375" t="str">
            <v>Stian Fuglaas</v>
          </cell>
        </row>
        <row r="376">
          <cell r="A376" t="str">
            <v>Manuel Hlavinka</v>
          </cell>
        </row>
        <row r="377">
          <cell r="A377" t="str">
            <v>Axel</v>
          </cell>
        </row>
        <row r="378">
          <cell r="A378" t="str">
            <v>Bendik Hansen</v>
          </cell>
        </row>
        <row r="379">
          <cell r="A379" t="str">
            <v>Baard Hübert</v>
          </cell>
        </row>
        <row r="380">
          <cell r="A380" t="str">
            <v>Søren Hunskaar</v>
          </cell>
        </row>
        <row r="381">
          <cell r="A381" t="str">
            <v>Giacomo Pesci</v>
          </cell>
        </row>
        <row r="382">
          <cell r="A382" t="str">
            <v>Joakim Aarseth</v>
          </cell>
        </row>
        <row r="383">
          <cell r="A383" t="str">
            <v>Manuel Hlavinka</v>
          </cell>
        </row>
        <row r="384">
          <cell r="A384" t="str">
            <v>Axel</v>
          </cell>
        </row>
        <row r="385">
          <cell r="A385" t="str">
            <v>Viktor Hegerberg</v>
          </cell>
        </row>
        <row r="386">
          <cell r="A386" t="str">
            <v>Kenneth Pedersen</v>
          </cell>
        </row>
        <row r="387">
          <cell r="A387" t="str">
            <v>Anders Søberg</v>
          </cell>
        </row>
        <row r="388">
          <cell r="A388" t="str">
            <v>Bendik Hansen</v>
          </cell>
        </row>
        <row r="389">
          <cell r="A389" t="str">
            <v>Baard Hübert</v>
          </cell>
        </row>
        <row r="390">
          <cell r="A390" t="str">
            <v>Manuel Hlavinka</v>
          </cell>
        </row>
        <row r="391">
          <cell r="A391" t="str">
            <v>Anders Søberg</v>
          </cell>
        </row>
        <row r="392">
          <cell r="A392" t="str">
            <v>Tormod Lang</v>
          </cell>
        </row>
        <row r="393">
          <cell r="A393" t="str">
            <v>Kenneth Pedersen</v>
          </cell>
        </row>
        <row r="394">
          <cell r="A394" t="str">
            <v>Anders Christie</v>
          </cell>
        </row>
        <row r="395">
          <cell r="A395" t="str">
            <v>Bendik Hansen</v>
          </cell>
        </row>
        <row r="396">
          <cell r="A396" t="str">
            <v>Tormod Lang</v>
          </cell>
        </row>
        <row r="397">
          <cell r="A397" t="str">
            <v>Baard Hübert</v>
          </cell>
        </row>
        <row r="398">
          <cell r="A398" t="str">
            <v>Anders Søberg</v>
          </cell>
        </row>
        <row r="399">
          <cell r="A399" t="str">
            <v>Parco Au</v>
          </cell>
        </row>
        <row r="400">
          <cell r="A400" t="str">
            <v>Tonny Albrigtsen</v>
          </cell>
        </row>
        <row r="401">
          <cell r="A401" t="str">
            <v>Tormod Lang</v>
          </cell>
        </row>
        <row r="402">
          <cell r="A402" t="str">
            <v>Manuel Hlavinka</v>
          </cell>
        </row>
        <row r="403">
          <cell r="A403" t="str">
            <v>Kenneth Pedersen</v>
          </cell>
        </row>
        <row r="404">
          <cell r="A404" t="str">
            <v>Bendik Hansen</v>
          </cell>
        </row>
        <row r="405">
          <cell r="A405" t="str">
            <v>Parco Au</v>
          </cell>
        </row>
        <row r="406">
          <cell r="A406" t="str">
            <v>Anders Søberg</v>
          </cell>
        </row>
        <row r="407">
          <cell r="A407" t="str">
            <v>Johannes Bang</v>
          </cell>
        </row>
        <row r="408">
          <cell r="A408" t="str">
            <v>Stian Fuglaas</v>
          </cell>
        </row>
        <row r="409">
          <cell r="A409" t="str">
            <v>Manuel Hlavinka</v>
          </cell>
        </row>
        <row r="410">
          <cell r="A410" t="str">
            <v>Baard Hübert</v>
          </cell>
        </row>
        <row r="411">
          <cell r="A411" t="str">
            <v>Stian Fuglaas</v>
          </cell>
        </row>
        <row r="412">
          <cell r="A412" t="str">
            <v>Tormod Lang</v>
          </cell>
        </row>
        <row r="413">
          <cell r="A413" t="str">
            <v>Anders Christie</v>
          </cell>
        </row>
        <row r="414">
          <cell r="A414" t="str">
            <v>Kenneth Pedersen</v>
          </cell>
        </row>
        <row r="415">
          <cell r="A415" t="str">
            <v>Manuel Hlavinka</v>
          </cell>
        </row>
        <row r="416">
          <cell r="A416" t="str">
            <v>Anders Søberg</v>
          </cell>
        </row>
        <row r="417">
          <cell r="A417" t="str">
            <v>Tormod Lang</v>
          </cell>
        </row>
        <row r="418">
          <cell r="A418" t="str">
            <v>Anders Christie</v>
          </cell>
        </row>
        <row r="419">
          <cell r="A419" t="str">
            <v>Manuel Hlavinka</v>
          </cell>
        </row>
        <row r="420">
          <cell r="A420" t="str">
            <v>Giacomo Pesci</v>
          </cell>
        </row>
        <row r="421">
          <cell r="A421" t="str">
            <v>Stian Fuglaas</v>
          </cell>
        </row>
        <row r="422">
          <cell r="A422" t="str">
            <v>Giacomo Pesci</v>
          </cell>
        </row>
        <row r="423">
          <cell r="A423" t="str">
            <v>Manuel Hlavinka</v>
          </cell>
        </row>
        <row r="424">
          <cell r="A424" t="str">
            <v>Anders Christie</v>
          </cell>
        </row>
        <row r="425">
          <cell r="A425" t="str">
            <v>Tormod Lang</v>
          </cell>
        </row>
        <row r="426">
          <cell r="A426" t="str">
            <v>Kristin Skivik</v>
          </cell>
        </row>
        <row r="427">
          <cell r="A427" t="str">
            <v>Petter Haukaas</v>
          </cell>
        </row>
        <row r="428">
          <cell r="A428" t="str">
            <v>Anders Søberg</v>
          </cell>
        </row>
        <row r="429">
          <cell r="A429" t="str">
            <v>Søren Hunskaar</v>
          </cell>
        </row>
        <row r="430">
          <cell r="A430" t="str">
            <v>Stian Fuglaas</v>
          </cell>
        </row>
        <row r="431">
          <cell r="A431" t="str">
            <v>Kenneth Pedersen</v>
          </cell>
        </row>
        <row r="432">
          <cell r="A432" t="str">
            <v>Stian Fuglaas</v>
          </cell>
        </row>
        <row r="433">
          <cell r="A433" t="str">
            <v>Erik Bergseth</v>
          </cell>
        </row>
        <row r="434">
          <cell r="A434" t="str">
            <v>Baard Hübert</v>
          </cell>
        </row>
        <row r="435">
          <cell r="A435" t="str">
            <v>Tormod Lang</v>
          </cell>
        </row>
        <row r="436">
          <cell r="A436" t="str">
            <v>Søren Hunskaar</v>
          </cell>
        </row>
        <row r="437">
          <cell r="A437" t="str">
            <v>Stian Fuglaas</v>
          </cell>
        </row>
        <row r="438">
          <cell r="A438" t="str">
            <v>Anders Søberg</v>
          </cell>
        </row>
        <row r="439">
          <cell r="A439" t="str">
            <v>Baard Hübert</v>
          </cell>
        </row>
        <row r="440">
          <cell r="A440" t="str">
            <v>Erik Bergseth</v>
          </cell>
        </row>
        <row r="441">
          <cell r="A441" t="str">
            <v>Tormod Lang</v>
          </cell>
        </row>
        <row r="442">
          <cell r="A442" t="str">
            <v>Anders Christie</v>
          </cell>
        </row>
        <row r="443">
          <cell r="A443" t="str">
            <v>Kenneth Pedersen</v>
          </cell>
        </row>
        <row r="444">
          <cell r="A444" t="str">
            <v>Stian Fuglaas</v>
          </cell>
        </row>
        <row r="445">
          <cell r="A445" t="str">
            <v>Joakim Aarseth</v>
          </cell>
        </row>
        <row r="446">
          <cell r="A446" t="str">
            <v>Tormod Lang</v>
          </cell>
        </row>
        <row r="447">
          <cell r="A447" t="str">
            <v>Kristin Skivik</v>
          </cell>
        </row>
        <row r="448">
          <cell r="A448" t="str">
            <v>Erik Bergseth</v>
          </cell>
        </row>
        <row r="449">
          <cell r="A449" t="str">
            <v>Anders Søberg</v>
          </cell>
        </row>
        <row r="450">
          <cell r="A450" t="str">
            <v>Manuel Hlavinka</v>
          </cell>
        </row>
        <row r="451">
          <cell r="A451" t="str">
            <v>Viktor Hegerberg</v>
          </cell>
        </row>
        <row r="452">
          <cell r="A452" t="str">
            <v>Anders Søberg</v>
          </cell>
        </row>
        <row r="453">
          <cell r="A453" t="str">
            <v>Manuel Hlavinka</v>
          </cell>
        </row>
        <row r="454">
          <cell r="A454" t="str">
            <v>Anders Christie</v>
          </cell>
        </row>
        <row r="455">
          <cell r="A455" t="str">
            <v>Søren Hunskaar</v>
          </cell>
        </row>
        <row r="456">
          <cell r="A456" t="str">
            <v>Kenneth Pedersen</v>
          </cell>
        </row>
        <row r="457">
          <cell r="A457" t="str">
            <v>Tormod Lang</v>
          </cell>
        </row>
        <row r="458">
          <cell r="A458" t="str">
            <v>Tormod Lang</v>
          </cell>
        </row>
        <row r="459">
          <cell r="A459" t="str">
            <v>Kenneth Pedersen</v>
          </cell>
        </row>
        <row r="460">
          <cell r="A460" t="str">
            <v>Stian Fuglaas</v>
          </cell>
        </row>
        <row r="461">
          <cell r="A461" t="str">
            <v>Parco Au</v>
          </cell>
        </row>
        <row r="462">
          <cell r="A462" t="str">
            <v>Martin Lindboe</v>
          </cell>
        </row>
        <row r="463">
          <cell r="A463" t="str">
            <v>Martin Lindboe</v>
          </cell>
        </row>
        <row r="464">
          <cell r="A464" t="str">
            <v>Tormod Lang</v>
          </cell>
        </row>
        <row r="465">
          <cell r="A465" t="str">
            <v>Anders Christie</v>
          </cell>
        </row>
        <row r="466">
          <cell r="A466" t="str">
            <v>Kenneth Pedersen</v>
          </cell>
        </row>
        <row r="467">
          <cell r="A467" t="str">
            <v>Stian Fuglaas</v>
          </cell>
        </row>
        <row r="468">
          <cell r="A468" t="str">
            <v>Parco Au</v>
          </cell>
        </row>
        <row r="469">
          <cell r="A469" t="str">
            <v>Tonny Albrigtsen</v>
          </cell>
        </row>
        <row r="470">
          <cell r="A470" t="str">
            <v>Martin Lindboe</v>
          </cell>
        </row>
        <row r="471">
          <cell r="A471" t="str">
            <v>Manuel Hlavinka</v>
          </cell>
        </row>
        <row r="472">
          <cell r="A472" t="str">
            <v>Stian Fuglaas</v>
          </cell>
        </row>
        <row r="473">
          <cell r="A473" t="str">
            <v>Manuel Hlavinka</v>
          </cell>
        </row>
        <row r="474">
          <cell r="A474" t="str">
            <v>Kenneth Pedersen</v>
          </cell>
        </row>
        <row r="475">
          <cell r="A475" t="str">
            <v>Anders Søberg</v>
          </cell>
        </row>
        <row r="476">
          <cell r="A476" t="str">
            <v>Anders Christie</v>
          </cell>
        </row>
        <row r="477">
          <cell r="A477" t="str">
            <v>Anders Søberg</v>
          </cell>
        </row>
        <row r="478">
          <cell r="A478" t="str">
            <v>Tonny Albrigtsen</v>
          </cell>
        </row>
        <row r="479">
          <cell r="A479" t="str">
            <v>Manuel Hlavinka</v>
          </cell>
        </row>
        <row r="480">
          <cell r="A480" t="str">
            <v>Joakim Aarseth</v>
          </cell>
        </row>
        <row r="481">
          <cell r="A481" t="str">
            <v>Anders Christie</v>
          </cell>
        </row>
        <row r="482">
          <cell r="A482" t="str">
            <v>Manuel Hlavinka</v>
          </cell>
        </row>
        <row r="483">
          <cell r="A483" t="str">
            <v>Giacomo Pesci</v>
          </cell>
        </row>
        <row r="484">
          <cell r="A484" t="str">
            <v>Anders Søberg</v>
          </cell>
        </row>
        <row r="485">
          <cell r="A485" t="str">
            <v>Manuel Hlavinka</v>
          </cell>
        </row>
        <row r="486">
          <cell r="A486" t="str">
            <v>Anders Søberg</v>
          </cell>
        </row>
        <row r="487">
          <cell r="A487" t="str">
            <v>Joakim Aarseth</v>
          </cell>
        </row>
        <row r="488">
          <cell r="A488" t="str">
            <v>Tonny Albrigtsen</v>
          </cell>
        </row>
        <row r="489">
          <cell r="A489" t="str">
            <v>Manuel Hlavinka</v>
          </cell>
        </row>
        <row r="490">
          <cell r="A490" t="str">
            <v>Anders Christie</v>
          </cell>
        </row>
        <row r="491">
          <cell r="A491" t="str">
            <v>Kenneth Pedersen</v>
          </cell>
        </row>
        <row r="492">
          <cell r="A492" t="str">
            <v>Giacomo Pesci</v>
          </cell>
        </row>
        <row r="493">
          <cell r="A493" t="str">
            <v>Ferdinand Marnburg</v>
          </cell>
        </row>
        <row r="494">
          <cell r="A494" t="str">
            <v>Tonny Albrigtsen</v>
          </cell>
        </row>
        <row r="495">
          <cell r="A495" t="str">
            <v>Tormod Lang</v>
          </cell>
        </row>
        <row r="496">
          <cell r="A496" t="str">
            <v>Baard Hübert</v>
          </cell>
        </row>
        <row r="497">
          <cell r="A497" t="str">
            <v>Manuel Hlavinka</v>
          </cell>
        </row>
        <row r="498">
          <cell r="A498" t="str">
            <v>Stian Magnell</v>
          </cell>
        </row>
        <row r="499">
          <cell r="A499" t="str">
            <v>Jørgen Sørli</v>
          </cell>
        </row>
        <row r="500">
          <cell r="A500" t="str">
            <v>Joakim Aarseth</v>
          </cell>
        </row>
        <row r="501">
          <cell r="A501" t="str">
            <v>Parco Au</v>
          </cell>
        </row>
        <row r="502">
          <cell r="A502" t="str">
            <v>Giacomo Pesci</v>
          </cell>
        </row>
        <row r="503">
          <cell r="A503" t="str">
            <v>Anders Søberg</v>
          </cell>
        </row>
        <row r="504">
          <cell r="A504" t="str">
            <v>Tonny Albrigtsen</v>
          </cell>
        </row>
        <row r="505">
          <cell r="A505" t="str">
            <v>Anders Christie</v>
          </cell>
        </row>
        <row r="506">
          <cell r="A506" t="str">
            <v>Manuel Hlavinka</v>
          </cell>
        </row>
        <row r="507">
          <cell r="A507" t="str">
            <v>Parco Au</v>
          </cell>
        </row>
        <row r="508">
          <cell r="A508" t="str">
            <v>Anders Søberg</v>
          </cell>
        </row>
        <row r="509">
          <cell r="A509" t="str">
            <v>Ferdinand Marnburg</v>
          </cell>
        </row>
        <row r="510">
          <cell r="A510" t="str">
            <v>Tormod Lang</v>
          </cell>
        </row>
        <row r="511">
          <cell r="A511" t="str">
            <v>Kenneth Pedersen</v>
          </cell>
        </row>
        <row r="512">
          <cell r="A512" t="str">
            <v>Manuel Hlavinka</v>
          </cell>
        </row>
        <row r="513">
          <cell r="A513" t="str">
            <v>Joakim Aarseth</v>
          </cell>
        </row>
        <row r="514">
          <cell r="A514" t="str">
            <v>Parco Au</v>
          </cell>
        </row>
        <row r="515">
          <cell r="A515" t="str">
            <v>Ferdinand Marnburg</v>
          </cell>
        </row>
        <row r="516">
          <cell r="A516" t="str">
            <v>Stian Magnell</v>
          </cell>
        </row>
        <row r="517">
          <cell r="A517" t="str">
            <v>Tormod Lang</v>
          </cell>
        </row>
        <row r="518">
          <cell r="A518" t="str">
            <v>Bendik Hansen</v>
          </cell>
        </row>
        <row r="519">
          <cell r="A519" t="str">
            <v>Viktor Hegerberg</v>
          </cell>
        </row>
        <row r="520">
          <cell r="A520" t="str">
            <v>Ferdinand Marnburg</v>
          </cell>
        </row>
        <row r="521">
          <cell r="A521" t="str">
            <v>Anders Søberg</v>
          </cell>
        </row>
        <row r="522">
          <cell r="A522" t="str">
            <v>Stian Fuglaas</v>
          </cell>
        </row>
        <row r="523">
          <cell r="A523" t="str">
            <v>Mathias Aspen</v>
          </cell>
        </row>
        <row r="524">
          <cell r="A524" t="str">
            <v>Baard Hübert</v>
          </cell>
        </row>
        <row r="525">
          <cell r="A525" t="str">
            <v>Viktor Hegerberg</v>
          </cell>
        </row>
        <row r="526">
          <cell r="A526" t="str">
            <v>Tormod Lang</v>
          </cell>
        </row>
        <row r="527">
          <cell r="A527" t="str">
            <v>Anders Søberg</v>
          </cell>
        </row>
        <row r="528">
          <cell r="A528" t="str">
            <v>Manuel Hlavinka</v>
          </cell>
        </row>
        <row r="529">
          <cell r="A529" t="str">
            <v>Robin Sørlien</v>
          </cell>
        </row>
        <row r="530">
          <cell r="A530" t="str">
            <v>Mathias Aspen</v>
          </cell>
        </row>
        <row r="531">
          <cell r="A531" t="str">
            <v>Manuel Hlavinka</v>
          </cell>
        </row>
        <row r="532">
          <cell r="A532" t="str">
            <v>Tormod Lang</v>
          </cell>
        </row>
        <row r="533">
          <cell r="A533" t="str">
            <v>Baard Hübert</v>
          </cell>
        </row>
        <row r="534">
          <cell r="A534" t="str">
            <v>Matias Kaarstein </v>
          </cell>
        </row>
        <row r="535">
          <cell r="A535" t="str">
            <v>Kristian Skjold</v>
          </cell>
        </row>
        <row r="536">
          <cell r="A536" t="str">
            <v>Mathias Aspen</v>
          </cell>
        </row>
        <row r="537">
          <cell r="A537" t="str">
            <v>Tormod Lang</v>
          </cell>
        </row>
        <row r="538">
          <cell r="A538" t="str">
            <v>Parco Au</v>
          </cell>
        </row>
        <row r="539">
          <cell r="A539" t="str">
            <v>Anders Søberg</v>
          </cell>
        </row>
        <row r="540">
          <cell r="A540" t="str">
            <v>Kristian Skjold</v>
          </cell>
        </row>
        <row r="541">
          <cell r="A541" t="str">
            <v>Baard Hübert</v>
          </cell>
        </row>
        <row r="542">
          <cell r="A542" t="str">
            <v>Robin Sørlien</v>
          </cell>
        </row>
        <row r="543">
          <cell r="A543" t="str">
            <v>Viktor Hegerberg</v>
          </cell>
        </row>
        <row r="544">
          <cell r="A544" t="str">
            <v>Tor Årskog</v>
          </cell>
        </row>
        <row r="545">
          <cell r="A545" t="str">
            <v>Tormod Lang</v>
          </cell>
        </row>
        <row r="546">
          <cell r="A546" t="str">
            <v>Parco Au</v>
          </cell>
        </row>
        <row r="547">
          <cell r="A547" t="str">
            <v>Parco Au</v>
          </cell>
        </row>
        <row r="548">
          <cell r="A548" t="str">
            <v>Tormod Lang</v>
          </cell>
        </row>
        <row r="549">
          <cell r="A549" t="str">
            <v>Søren Hunskaar</v>
          </cell>
        </row>
        <row r="550">
          <cell r="A550" t="str">
            <v>Bjørnar Funderud</v>
          </cell>
        </row>
        <row r="551">
          <cell r="A551" t="str">
            <v>Viktor Hegerberg</v>
          </cell>
        </row>
        <row r="552">
          <cell r="A552" t="str">
            <v>Kristian Skjold</v>
          </cell>
        </row>
        <row r="553">
          <cell r="A553" t="str">
            <v>Manuel Hlavinka</v>
          </cell>
        </row>
        <row r="554">
          <cell r="A554" t="str">
            <v>Parco Au</v>
          </cell>
        </row>
        <row r="555">
          <cell r="A555" t="str">
            <v>Tonny Albrigtsen</v>
          </cell>
        </row>
        <row r="556">
          <cell r="A556" t="str">
            <v>Tormod Lang</v>
          </cell>
        </row>
        <row r="557">
          <cell r="A557" t="str">
            <v>Viktor Hegerberg</v>
          </cell>
        </row>
        <row r="558">
          <cell r="A558" t="str">
            <v>Kristian Skjold</v>
          </cell>
        </row>
        <row r="559">
          <cell r="A559" t="str">
            <v>Parco Au</v>
          </cell>
        </row>
        <row r="560">
          <cell r="A560" t="str">
            <v>Erik Bergseth</v>
          </cell>
        </row>
        <row r="561">
          <cell r="A561" t="str">
            <v>Ian Fox</v>
          </cell>
        </row>
        <row r="562">
          <cell r="A562" t="str">
            <v>Bjørnar Funderud</v>
          </cell>
        </row>
        <row r="563">
          <cell r="A563" t="str">
            <v>Tormod Lang</v>
          </cell>
        </row>
        <row r="564">
          <cell r="A564" t="str">
            <v>Parco Au</v>
          </cell>
        </row>
        <row r="565">
          <cell r="A565" t="str">
            <v>Tonny Albrigtsen</v>
          </cell>
        </row>
        <row r="566">
          <cell r="A566" t="str">
            <v>Bjørnar Funderud</v>
          </cell>
        </row>
        <row r="567">
          <cell r="A567" t="str">
            <v>Viktor Hegerberg</v>
          </cell>
        </row>
        <row r="568">
          <cell r="A568" t="str">
            <v>Manuel Hlavinka</v>
          </cell>
        </row>
        <row r="569">
          <cell r="A569" t="str">
            <v>Tormod Lang</v>
          </cell>
        </row>
        <row r="570">
          <cell r="A570" t="str">
            <v>Tonny Albrigtsen</v>
          </cell>
        </row>
        <row r="571">
          <cell r="A571" t="str">
            <v>Parco Au</v>
          </cell>
        </row>
        <row r="572">
          <cell r="A572" t="str">
            <v>Tonny Albrigtsen</v>
          </cell>
        </row>
        <row r="573">
          <cell r="A573" t="str">
            <v>Tormod Lang</v>
          </cell>
        </row>
        <row r="574">
          <cell r="A574" t="str">
            <v>Baard Hübert</v>
          </cell>
        </row>
        <row r="575">
          <cell r="A575" t="str">
            <v>Parco Au</v>
          </cell>
        </row>
        <row r="576">
          <cell r="A576" t="str">
            <v>Anders Christie</v>
          </cell>
        </row>
        <row r="577">
          <cell r="A577" t="str">
            <v>Tormod Lang</v>
          </cell>
        </row>
        <row r="578">
          <cell r="A578" t="str">
            <v>Tonny Albrigtsen</v>
          </cell>
        </row>
        <row r="579">
          <cell r="A579" t="str">
            <v>Viktor Hegerberg</v>
          </cell>
        </row>
        <row r="580">
          <cell r="A580" t="str">
            <v>Anders Søberg</v>
          </cell>
        </row>
        <row r="581">
          <cell r="A581" t="str">
            <v>Søren Hunskaar</v>
          </cell>
        </row>
        <row r="582">
          <cell r="A582" t="str">
            <v>Anders Christie</v>
          </cell>
        </row>
        <row r="583">
          <cell r="A583" t="str">
            <v>Søren Hunskaar</v>
          </cell>
        </row>
        <row r="584">
          <cell r="A584" t="str">
            <v>Anders Søberg</v>
          </cell>
        </row>
        <row r="585">
          <cell r="A585" t="str">
            <v>Viktor Hegerberg</v>
          </cell>
        </row>
        <row r="586">
          <cell r="A586" t="str">
            <v>Baard Hübert</v>
          </cell>
        </row>
        <row r="587">
          <cell r="A587" t="str">
            <v>Tonny Albrigtsen</v>
          </cell>
        </row>
        <row r="588">
          <cell r="A588" t="str">
            <v>Anders Søberg</v>
          </cell>
        </row>
        <row r="589">
          <cell r="A589" t="str">
            <v>Søren Hunskaar</v>
          </cell>
        </row>
        <row r="590">
          <cell r="A590" t="str">
            <v>Anders Christie</v>
          </cell>
        </row>
        <row r="591">
          <cell r="A591" t="str">
            <v>Viktor Hegerberg</v>
          </cell>
        </row>
        <row r="592">
          <cell r="A592" t="str">
            <v>Tonny Albrigtsen</v>
          </cell>
        </row>
        <row r="593">
          <cell r="A593" t="str">
            <v>Eirik Larsen</v>
          </cell>
        </row>
        <row r="594">
          <cell r="A594" t="str">
            <v>Søren Hunskaar</v>
          </cell>
        </row>
        <row r="595">
          <cell r="A595" t="str">
            <v>Baard Hübert</v>
          </cell>
        </row>
        <row r="596">
          <cell r="A596" t="str">
            <v>Parco Au</v>
          </cell>
        </row>
        <row r="597">
          <cell r="A597" t="str">
            <v>Eirik Larsen</v>
          </cell>
        </row>
        <row r="598">
          <cell r="A598" t="str">
            <v>Tom Sondre Albrigsten</v>
          </cell>
        </row>
        <row r="599">
          <cell r="A599" t="str">
            <v>Gunnar Sivertsen</v>
          </cell>
        </row>
        <row r="600">
          <cell r="A600" t="str">
            <v>Tonny Albrigtsen</v>
          </cell>
        </row>
        <row r="601">
          <cell r="A601" t="str">
            <v>Petter Haukaas</v>
          </cell>
        </row>
        <row r="602">
          <cell r="A602" t="str">
            <v>Ian Fox</v>
          </cell>
        </row>
        <row r="603">
          <cell r="A603" t="str">
            <v>Tormod Lang</v>
          </cell>
        </row>
        <row r="604">
          <cell r="A604" t="str">
            <v>Kenneth Pedersen</v>
          </cell>
        </row>
        <row r="605">
          <cell r="A605" t="str">
            <v>Tom Sondre Albrigsten</v>
          </cell>
        </row>
        <row r="606">
          <cell r="A606" t="str">
            <v>Eirik Larsen</v>
          </cell>
        </row>
        <row r="607">
          <cell r="A607" t="str">
            <v>Gunnar Sivertsen</v>
          </cell>
        </row>
        <row r="608">
          <cell r="A608" t="str">
            <v>Baard Hübert</v>
          </cell>
        </row>
        <row r="609">
          <cell r="A609" t="str">
            <v>Manuel Hlavinka</v>
          </cell>
        </row>
        <row r="610">
          <cell r="A610" t="str">
            <v>Daniel Norum</v>
          </cell>
        </row>
        <row r="611">
          <cell r="A611" t="str">
            <v>Viktor Hegerberg</v>
          </cell>
        </row>
        <row r="612">
          <cell r="A612" t="str">
            <v>Gunnar Sivertsen</v>
          </cell>
        </row>
        <row r="613">
          <cell r="A613" t="str">
            <v>Petter Haukaas</v>
          </cell>
        </row>
        <row r="614">
          <cell r="A614" t="str">
            <v>Kenneth Pedersen</v>
          </cell>
        </row>
        <row r="615">
          <cell r="A615" t="str">
            <v>Parco Au</v>
          </cell>
        </row>
        <row r="616">
          <cell r="A616" t="str">
            <v>Manuel Hlavinka</v>
          </cell>
        </row>
        <row r="617">
          <cell r="A617" t="str">
            <v>Anders Søberg</v>
          </cell>
        </row>
        <row r="618">
          <cell r="A618" t="str">
            <v>Gunnar Sivertsen</v>
          </cell>
        </row>
        <row r="619">
          <cell r="A619" t="str">
            <v>Eirik Larsen</v>
          </cell>
        </row>
        <row r="620">
          <cell r="A620" t="str">
            <v>Parco Au</v>
          </cell>
        </row>
        <row r="621">
          <cell r="A621" t="str">
            <v>Stian Fuglaas</v>
          </cell>
        </row>
        <row r="622">
          <cell r="A622" t="str">
            <v>Tormod Lang</v>
          </cell>
        </row>
        <row r="623">
          <cell r="A623" t="str">
            <v>Manuel Hlavinka</v>
          </cell>
        </row>
        <row r="624">
          <cell r="A624" t="str">
            <v>Tormod Lang</v>
          </cell>
        </row>
        <row r="625">
          <cell r="A625" t="str">
            <v>Baard Hübert</v>
          </cell>
        </row>
        <row r="626">
          <cell r="A626" t="str">
            <v>Anders Søberg</v>
          </cell>
        </row>
        <row r="627">
          <cell r="A627" t="str">
            <v>Tonny Albrigtsen</v>
          </cell>
        </row>
        <row r="628">
          <cell r="A628" t="str">
            <v>Anders Søberg</v>
          </cell>
        </row>
        <row r="629">
          <cell r="A629" t="str">
            <v>Baard Hübert</v>
          </cell>
        </row>
        <row r="630">
          <cell r="A630" t="str">
            <v>Manuel Hlavinka</v>
          </cell>
        </row>
        <row r="631">
          <cell r="A631" t="str">
            <v>Anders Søberg</v>
          </cell>
        </row>
        <row r="632">
          <cell r="A632" t="str">
            <v>Eirik Larsen</v>
          </cell>
        </row>
        <row r="633">
          <cell r="A633" t="str">
            <v>Parco Au</v>
          </cell>
        </row>
        <row r="634">
          <cell r="A634" t="str">
            <v>Viktor Hegerberg</v>
          </cell>
        </row>
        <row r="635">
          <cell r="A635" t="str">
            <v>Anders Søberg</v>
          </cell>
        </row>
        <row r="636">
          <cell r="A636" t="str">
            <v>Parco Au</v>
          </cell>
        </row>
        <row r="637">
          <cell r="A637" t="str">
            <v>Joakim Aarseth</v>
          </cell>
        </row>
        <row r="638">
          <cell r="A638" t="str">
            <v>Tonny Albrigtsen</v>
          </cell>
        </row>
        <row r="639">
          <cell r="A639" t="str">
            <v>Viktor Hegerberg</v>
          </cell>
        </row>
        <row r="640">
          <cell r="A640" t="str">
            <v>Ian Fox</v>
          </cell>
        </row>
        <row r="641">
          <cell r="A641" t="str">
            <v>Parco Au</v>
          </cell>
        </row>
        <row r="642">
          <cell r="A642" t="str">
            <v>Tormod Lang</v>
          </cell>
        </row>
        <row r="643">
          <cell r="A643" t="str">
            <v>Parco Au</v>
          </cell>
        </row>
        <row r="644">
          <cell r="A644" t="str">
            <v>Anders Søberg</v>
          </cell>
        </row>
        <row r="645">
          <cell r="A645" t="str">
            <v>Manuel Hlavinka</v>
          </cell>
        </row>
        <row r="646">
          <cell r="A646" t="str">
            <v>Anders Søberg</v>
          </cell>
        </row>
        <row r="647">
          <cell r="A647" t="str">
            <v>Baard Hübert</v>
          </cell>
        </row>
        <row r="648">
          <cell r="A648" t="str">
            <v>Parco Au</v>
          </cell>
        </row>
        <row r="649">
          <cell r="A649" t="str">
            <v>Tormod Lang</v>
          </cell>
        </row>
        <row r="650">
          <cell r="A650" t="str">
            <v>Martin Lindboe</v>
          </cell>
        </row>
        <row r="651">
          <cell r="A651" t="str">
            <v>Dante Forssberg</v>
          </cell>
        </row>
        <row r="652">
          <cell r="A652" t="str">
            <v>Anders Søberg</v>
          </cell>
        </row>
        <row r="653">
          <cell r="A653" t="str">
            <v>Manuel Hlavinka</v>
          </cell>
        </row>
        <row r="654">
          <cell r="A654" t="str">
            <v>Martin Lindboe</v>
          </cell>
        </row>
        <row r="655">
          <cell r="A655" t="str">
            <v>Parco Au</v>
          </cell>
        </row>
        <row r="656">
          <cell r="A656" t="str">
            <v>Tonny Albrigtsen</v>
          </cell>
        </row>
        <row r="657">
          <cell r="A657" t="str">
            <v>Dante Forssberg</v>
          </cell>
        </row>
        <row r="658">
          <cell r="A658" t="str">
            <v>Tormod Lang</v>
          </cell>
        </row>
        <row r="659">
          <cell r="A659" t="str">
            <v>Martin Lindboe</v>
          </cell>
        </row>
        <row r="660">
          <cell r="A660" t="str">
            <v>Erling André Hervik</v>
          </cell>
        </row>
        <row r="661">
          <cell r="A661" t="str">
            <v>Parco Au</v>
          </cell>
        </row>
        <row r="662">
          <cell r="A662" t="str">
            <v>Baard Hübert</v>
          </cell>
        </row>
        <row r="663">
          <cell r="A663" t="str">
            <v>Viktor Hegerberg</v>
          </cell>
        </row>
        <row r="664">
          <cell r="A664" t="str">
            <v>Anders Christie</v>
          </cell>
        </row>
        <row r="665">
          <cell r="A665" t="str">
            <v>William Kvisli</v>
          </cell>
        </row>
        <row r="666">
          <cell r="A666" t="str">
            <v>Tormod Lang</v>
          </cell>
        </row>
        <row r="667">
          <cell r="A667" t="str">
            <v>Peter White</v>
          </cell>
        </row>
        <row r="668">
          <cell r="A668" t="str">
            <v>Baard Hübert</v>
          </cell>
        </row>
        <row r="669">
          <cell r="A669" t="str">
            <v>William Kvisli</v>
          </cell>
        </row>
        <row r="670">
          <cell r="A670" t="str">
            <v>Anders Christie</v>
          </cell>
        </row>
        <row r="671">
          <cell r="A671" t="str">
            <v>Tormod Lang</v>
          </cell>
        </row>
        <row r="672">
          <cell r="A672" t="str">
            <v>Peter White</v>
          </cell>
        </row>
        <row r="673">
          <cell r="A673" t="str">
            <v>William Kvisli</v>
          </cell>
        </row>
        <row r="674">
          <cell r="A674" t="str">
            <v>Erik Bergseth</v>
          </cell>
        </row>
        <row r="675">
          <cell r="A675" t="str">
            <v>Kenneth Pedersen</v>
          </cell>
        </row>
        <row r="676">
          <cell r="A676" t="str">
            <v>Tormod Lang</v>
          </cell>
        </row>
        <row r="677">
          <cell r="A677" t="str">
            <v>Peter White</v>
          </cell>
        </row>
        <row r="678">
          <cell r="A678" t="str">
            <v>Jørgen Sørli</v>
          </cell>
        </row>
        <row r="679">
          <cell r="A679" t="str">
            <v>Baard Hübert</v>
          </cell>
        </row>
        <row r="680">
          <cell r="A680" t="str">
            <v>Erik Bergseth</v>
          </cell>
        </row>
        <row r="681">
          <cell r="A681" t="str">
            <v>Kenneth Pedersen</v>
          </cell>
        </row>
        <row r="682">
          <cell r="A682" t="str">
            <v>Joakim Aarseth</v>
          </cell>
        </row>
        <row r="683">
          <cell r="A683" t="str">
            <v>Baard Hübert</v>
          </cell>
        </row>
        <row r="684">
          <cell r="A684" t="str">
            <v>Parco Au</v>
          </cell>
        </row>
        <row r="685">
          <cell r="A685" t="str">
            <v>Viktor Hegerberg</v>
          </cell>
        </row>
        <row r="686">
          <cell r="A686" t="str">
            <v>Manuel Hlavinka</v>
          </cell>
        </row>
        <row r="687">
          <cell r="A687" t="str">
            <v>Tormod Lang</v>
          </cell>
        </row>
        <row r="688">
          <cell r="A688" t="str">
            <v>Parco Au</v>
          </cell>
        </row>
        <row r="689">
          <cell r="A689" t="str">
            <v>Martin Lindboe</v>
          </cell>
        </row>
        <row r="690">
          <cell r="A690" t="str">
            <v>Joakim Aarseth</v>
          </cell>
        </row>
        <row r="691">
          <cell r="A691" t="str">
            <v>Tonny Albrigtsen</v>
          </cell>
        </row>
        <row r="692">
          <cell r="A692" t="str">
            <v>Bendik Hansen</v>
          </cell>
        </row>
        <row r="693">
          <cell r="A693" t="str">
            <v>Anders Christie</v>
          </cell>
        </row>
        <row r="694">
          <cell r="A694" t="str">
            <v>Gunnar Sivertsen</v>
          </cell>
        </row>
        <row r="695">
          <cell r="A695" t="str">
            <v>Manuel Hlavinka</v>
          </cell>
        </row>
        <row r="696">
          <cell r="A696" t="str">
            <v>Baard Hübert</v>
          </cell>
        </row>
        <row r="697">
          <cell r="A697" t="str">
            <v>Viktor Hegerberg</v>
          </cell>
        </row>
        <row r="698">
          <cell r="A698" t="str">
            <v>Parco Au</v>
          </cell>
        </row>
        <row r="699">
          <cell r="A699" t="str">
            <v>Gunnar Sivertsen</v>
          </cell>
        </row>
        <row r="700">
          <cell r="A700" t="str">
            <v>Anders Christie</v>
          </cell>
        </row>
        <row r="701">
          <cell r="A701" t="str">
            <v>Parco Au</v>
          </cell>
        </row>
        <row r="702">
          <cell r="A702" t="str">
            <v>Viktor Hegerberg</v>
          </cell>
        </row>
        <row r="703">
          <cell r="A703" t="str">
            <v>Martin Lindboe</v>
          </cell>
        </row>
        <row r="704">
          <cell r="A704" t="str">
            <v>Baard Hübert</v>
          </cell>
        </row>
        <row r="705">
          <cell r="A705" t="str">
            <v>Stian Fuglaas</v>
          </cell>
        </row>
        <row r="706">
          <cell r="A706" t="str">
            <v>Tormod Lang</v>
          </cell>
        </row>
        <row r="707">
          <cell r="A707" t="str">
            <v>Stian Fuglaas</v>
          </cell>
        </row>
        <row r="708">
          <cell r="A708" t="str">
            <v>Anders Søberg</v>
          </cell>
        </row>
        <row r="709">
          <cell r="A709" t="str">
            <v>Baard Hübert</v>
          </cell>
        </row>
        <row r="710">
          <cell r="A710" t="str">
            <v>Stian Fuglaas</v>
          </cell>
        </row>
        <row r="711">
          <cell r="A711" t="str">
            <v>Tormod Lang</v>
          </cell>
        </row>
        <row r="712">
          <cell r="A712" t="str">
            <v>Tonny Albrigtsen</v>
          </cell>
        </row>
        <row r="713">
          <cell r="A713" t="str">
            <v>Bendik Hansen</v>
          </cell>
        </row>
        <row r="714">
          <cell r="A714" t="str">
            <v>Parco Au</v>
          </cell>
        </row>
        <row r="715">
          <cell r="A715" t="str">
            <v>Tormod Lang</v>
          </cell>
        </row>
        <row r="716">
          <cell r="A716" t="str">
            <v>Joakim Aarseth</v>
          </cell>
        </row>
        <row r="717">
          <cell r="A717" t="str">
            <v>Anders Christie</v>
          </cell>
        </row>
        <row r="718">
          <cell r="A718" t="str">
            <v>Petter Haukaas</v>
          </cell>
        </row>
        <row r="719">
          <cell r="A719" t="str">
            <v>Kenneth Pedersen</v>
          </cell>
        </row>
        <row r="720">
          <cell r="A720" t="str">
            <v>Tonny Albrigtsen</v>
          </cell>
        </row>
        <row r="721">
          <cell r="A721" t="str">
            <v>Bjørnar Funderud</v>
          </cell>
        </row>
        <row r="722">
          <cell r="A722" t="str">
            <v>Anders Søberg</v>
          </cell>
        </row>
        <row r="723">
          <cell r="A723" t="str">
            <v>Joakim Aarseth</v>
          </cell>
        </row>
        <row r="724">
          <cell r="A724" t="str">
            <v>Kenneth Pedersen</v>
          </cell>
        </row>
        <row r="725">
          <cell r="A725" t="str">
            <v>Bendik Hansen</v>
          </cell>
        </row>
        <row r="726">
          <cell r="A726" t="str">
            <v>Anders Christie</v>
          </cell>
        </row>
        <row r="727">
          <cell r="A727" t="str">
            <v>Anders Søberg</v>
          </cell>
        </row>
        <row r="728">
          <cell r="A728" t="str">
            <v>Stian Fuglaas</v>
          </cell>
        </row>
        <row r="729">
          <cell r="A729" t="str">
            <v>Anders Christie</v>
          </cell>
        </row>
        <row r="730">
          <cell r="A730" t="str">
            <v>Erik Bergseth</v>
          </cell>
        </row>
        <row r="731">
          <cell r="A731" t="str">
            <v>Jørgen Sørli</v>
          </cell>
        </row>
        <row r="732">
          <cell r="A732" t="str">
            <v>Petter Haukaas</v>
          </cell>
        </row>
        <row r="733">
          <cell r="A733" t="str">
            <v>Parco Au</v>
          </cell>
        </row>
        <row r="734">
          <cell r="A734" t="str">
            <v>Anders Søberg</v>
          </cell>
        </row>
        <row r="735">
          <cell r="A735" t="str">
            <v>Tonny Albrigtsen</v>
          </cell>
        </row>
        <row r="736">
          <cell r="A736" t="str">
            <v>Anders Christie</v>
          </cell>
        </row>
        <row r="737">
          <cell r="A737" t="str">
            <v>Tormod Lang</v>
          </cell>
        </row>
        <row r="738">
          <cell r="A738" t="str">
            <v>Erik Bergseth</v>
          </cell>
        </row>
        <row r="739">
          <cell r="A739" t="str">
            <v>Bendik Hansen</v>
          </cell>
        </row>
        <row r="740">
          <cell r="A740" t="str">
            <v>Giacomo Pesci</v>
          </cell>
        </row>
        <row r="741">
          <cell r="A741" t="str">
            <v>Martin Lindboe</v>
          </cell>
        </row>
        <row r="742">
          <cell r="A742" t="str">
            <v>Joakim Aarseth</v>
          </cell>
        </row>
        <row r="743">
          <cell r="A743" t="str">
            <v>Tonny Albrigtsen</v>
          </cell>
        </row>
        <row r="744">
          <cell r="A744" t="str">
            <v>Baard Hübert</v>
          </cell>
        </row>
        <row r="745">
          <cell r="A745" t="str">
            <v>Anders Christie</v>
          </cell>
        </row>
        <row r="746">
          <cell r="A746" t="str">
            <v>Petter Haukaas</v>
          </cell>
        </row>
        <row r="747">
          <cell r="A747" t="str">
            <v>Søren Hunskaar</v>
          </cell>
        </row>
        <row r="748">
          <cell r="A748" t="str">
            <v>Joakim Aarseth</v>
          </cell>
        </row>
        <row r="749">
          <cell r="A749" t="str">
            <v>Anders Søberg</v>
          </cell>
        </row>
        <row r="750">
          <cell r="A750" t="str">
            <v>Baard Hübert</v>
          </cell>
        </row>
        <row r="751">
          <cell r="A751" t="str">
            <v>Tonny Albrigtsen</v>
          </cell>
        </row>
        <row r="752">
          <cell r="A752" t="str">
            <v>Bendik Hansen</v>
          </cell>
        </row>
        <row r="753">
          <cell r="A753" t="str">
            <v>Martin Lindboe</v>
          </cell>
        </row>
        <row r="754">
          <cell r="A754" t="str">
            <v>Anders Søberg</v>
          </cell>
        </row>
        <row r="755">
          <cell r="A755" t="str">
            <v>Søren Hunskaar</v>
          </cell>
        </row>
        <row r="756">
          <cell r="A756" t="str">
            <v>Giacomo Pesci</v>
          </cell>
        </row>
        <row r="757">
          <cell r="A757" t="str">
            <v>Baard Hübert</v>
          </cell>
        </row>
        <row r="758">
          <cell r="A758" t="str">
            <v>Joakim Aarseth</v>
          </cell>
        </row>
        <row r="759">
          <cell r="A759" t="str">
            <v>Tonny Albrigtsen</v>
          </cell>
        </row>
        <row r="760">
          <cell r="A760" t="str">
            <v>Manuel Hlavinka</v>
          </cell>
        </row>
        <row r="761">
          <cell r="A761" t="str">
            <v>Anders Søberg</v>
          </cell>
        </row>
        <row r="762">
          <cell r="A762" t="str">
            <v>Tormod Lang</v>
          </cell>
        </row>
        <row r="763">
          <cell r="A763" t="str">
            <v>Kenneth Pedersen</v>
          </cell>
        </row>
        <row r="764">
          <cell r="A764" t="str">
            <v>Tonny Albrigtsen</v>
          </cell>
        </row>
        <row r="765">
          <cell r="A765" t="str">
            <v>Erik Bergseth</v>
          </cell>
        </row>
        <row r="766">
          <cell r="A766" t="str">
            <v>Manuel Hlavinka</v>
          </cell>
        </row>
        <row r="767">
          <cell r="A767" t="str">
            <v>Trym Bergman</v>
          </cell>
        </row>
        <row r="768">
          <cell r="A768" t="str">
            <v>Baard Hübert</v>
          </cell>
        </row>
        <row r="769">
          <cell r="A769" t="str">
            <v>Martin Lindboe</v>
          </cell>
        </row>
        <row r="770">
          <cell r="A770" t="str">
            <v>Søren Hunskaar</v>
          </cell>
        </row>
        <row r="771">
          <cell r="A771" t="str">
            <v>Håvard Graff</v>
          </cell>
        </row>
        <row r="772">
          <cell r="A772" t="str">
            <v>Kenneth Pedersen</v>
          </cell>
        </row>
        <row r="773">
          <cell r="A773" t="str">
            <v>Viktor Hegerberg</v>
          </cell>
        </row>
        <row r="774">
          <cell r="A774" t="str">
            <v>Manuel Hlavinka</v>
          </cell>
        </row>
        <row r="775">
          <cell r="A775" t="str">
            <v>Anders Søberg</v>
          </cell>
        </row>
        <row r="776">
          <cell r="A776" t="str">
            <v>Jørgen Sørli</v>
          </cell>
        </row>
        <row r="777">
          <cell r="A777" t="str">
            <v>Kenneth Pedersen</v>
          </cell>
        </row>
        <row r="778">
          <cell r="A778" t="str">
            <v>Christopher Øvrum</v>
          </cell>
        </row>
        <row r="779">
          <cell r="A779" t="str">
            <v>Anders Søberg</v>
          </cell>
        </row>
        <row r="780">
          <cell r="A780" t="str">
            <v>Viktor Hegerberg</v>
          </cell>
        </row>
        <row r="781">
          <cell r="A781" t="str">
            <v>Jørgen Sørli</v>
          </cell>
        </row>
        <row r="782">
          <cell r="A782" t="str">
            <v>Ferdinand Marnburg</v>
          </cell>
        </row>
        <row r="783">
          <cell r="A783" t="str">
            <v>Håvard Graff</v>
          </cell>
        </row>
        <row r="784">
          <cell r="A784" t="str">
            <v>Eirik Larsen</v>
          </cell>
        </row>
        <row r="785">
          <cell r="A785" t="str">
            <v>Søren Hunskaar</v>
          </cell>
        </row>
        <row r="786">
          <cell r="A786" t="str">
            <v>Jørgen Sørli</v>
          </cell>
        </row>
        <row r="787">
          <cell r="A787" t="str">
            <v>Viktor Hegerberg</v>
          </cell>
        </row>
        <row r="788">
          <cell r="A788" t="str">
            <v>Anders Søberg</v>
          </cell>
        </row>
        <row r="789">
          <cell r="A789" t="str">
            <v>Manuel Hlavinka</v>
          </cell>
        </row>
        <row r="790">
          <cell r="A790" t="str">
            <v>Kenneth Pedersen</v>
          </cell>
        </row>
        <row r="791">
          <cell r="A791" t="str">
            <v>Ferdinand Marnburg</v>
          </cell>
        </row>
        <row r="792">
          <cell r="A792" t="str">
            <v>Arvin Graff</v>
          </cell>
        </row>
        <row r="793">
          <cell r="A793" t="str">
            <v>Søren Hunskaar</v>
          </cell>
        </row>
        <row r="794">
          <cell r="A794" t="str">
            <v>Håvard Graff</v>
          </cell>
        </row>
        <row r="795">
          <cell r="A795" t="str">
            <v>Joakim Aarseth</v>
          </cell>
        </row>
        <row r="796">
          <cell r="A796" t="str">
            <v>Anders Søberg</v>
          </cell>
        </row>
        <row r="797">
          <cell r="A797" t="str">
            <v>Kenneth Pedersen</v>
          </cell>
        </row>
        <row r="798">
          <cell r="A798" t="str">
            <v>Manuel Hlavinka</v>
          </cell>
        </row>
        <row r="799">
          <cell r="A799" t="str">
            <v>Ferdinand Marnburg</v>
          </cell>
        </row>
        <row r="800">
          <cell r="A800" t="str">
            <v>Christopher Øvrum</v>
          </cell>
        </row>
        <row r="801">
          <cell r="A801" t="str">
            <v>Baard Hübert</v>
          </cell>
        </row>
        <row r="802">
          <cell r="A802" t="str">
            <v>Anders Christie</v>
          </cell>
        </row>
        <row r="803">
          <cell r="A803" t="str">
            <v>Tonny Albrigtsen</v>
          </cell>
        </row>
        <row r="804">
          <cell r="A804" t="str">
            <v>Ferdinand Marnburg</v>
          </cell>
        </row>
        <row r="805">
          <cell r="A805" t="str">
            <v>Jørgen Sørli</v>
          </cell>
        </row>
        <row r="806">
          <cell r="A806" t="str">
            <v>Petter Haukaas</v>
          </cell>
        </row>
        <row r="807">
          <cell r="A807" t="str">
            <v>Viktor Hegerberg</v>
          </cell>
        </row>
        <row r="808">
          <cell r="A808" t="str">
            <v>Anders Søberg</v>
          </cell>
        </row>
        <row r="809">
          <cell r="A809" t="str">
            <v>Baard Hübert</v>
          </cell>
        </row>
        <row r="810">
          <cell r="A810" t="str">
            <v>Håvard Graff</v>
          </cell>
        </row>
        <row r="811">
          <cell r="A811" t="str">
            <v>Erik Bergseth</v>
          </cell>
        </row>
        <row r="812">
          <cell r="A812" t="str">
            <v>Kenneth Pedersen</v>
          </cell>
        </row>
        <row r="813">
          <cell r="A813" t="str">
            <v>Stein Elgethun</v>
          </cell>
        </row>
        <row r="814">
          <cell r="A814" t="str">
            <v>Manuel Hlavinka</v>
          </cell>
        </row>
        <row r="815">
          <cell r="A815" t="str">
            <v>Ferdinand Marnburg</v>
          </cell>
        </row>
        <row r="816">
          <cell r="A816" t="str">
            <v>Viktor Hegerberg</v>
          </cell>
        </row>
        <row r="817">
          <cell r="A817" t="str">
            <v>Baard Hübert</v>
          </cell>
        </row>
        <row r="818">
          <cell r="A818" t="str">
            <v>Tormod Lang</v>
          </cell>
        </row>
        <row r="819">
          <cell r="A819" t="str">
            <v>Jørgen Sørli</v>
          </cell>
        </row>
        <row r="820">
          <cell r="A820" t="str">
            <v>Anders Søberg</v>
          </cell>
        </row>
        <row r="821">
          <cell r="A821" t="str">
            <v>Eirik Larsen</v>
          </cell>
        </row>
        <row r="822">
          <cell r="A822" t="str">
            <v>Gunnar Sivertsen</v>
          </cell>
        </row>
        <row r="823">
          <cell r="A823" t="str">
            <v>Arvin Graff</v>
          </cell>
        </row>
        <row r="824">
          <cell r="A824" t="str">
            <v>Anders Christie</v>
          </cell>
        </row>
        <row r="825">
          <cell r="A825" t="str">
            <v>Giacomo Pesci</v>
          </cell>
        </row>
        <row r="826">
          <cell r="A826" t="str">
            <v>Petter Haukaas</v>
          </cell>
        </row>
        <row r="827">
          <cell r="A827" t="str">
            <v>Jørgen Sørli</v>
          </cell>
        </row>
        <row r="828">
          <cell r="A828" t="str">
            <v>Viktor Hegerberg</v>
          </cell>
        </row>
        <row r="829">
          <cell r="A829" t="str">
            <v>Manuel Hlavinka</v>
          </cell>
        </row>
        <row r="830">
          <cell r="A830" t="str">
            <v>Peter Magnus Bråss</v>
          </cell>
        </row>
        <row r="831">
          <cell r="A831" t="str">
            <v>Daniel Norum</v>
          </cell>
        </row>
        <row r="832">
          <cell r="A832" t="str">
            <v>Serina Koch</v>
          </cell>
        </row>
        <row r="833">
          <cell r="A833" t="str">
            <v>Ferdinand Marnburg</v>
          </cell>
        </row>
        <row r="834">
          <cell r="A834" t="str">
            <v>Giacomo Pesci</v>
          </cell>
        </row>
        <row r="835">
          <cell r="A835" t="str">
            <v>Anders Søberg</v>
          </cell>
        </row>
        <row r="836">
          <cell r="A836" t="str">
            <v>Petter Haukaas</v>
          </cell>
        </row>
        <row r="837">
          <cell r="A837" t="str">
            <v>Håvard Graff</v>
          </cell>
        </row>
        <row r="838">
          <cell r="A838" t="str">
            <v>Jørgen Sørli</v>
          </cell>
        </row>
        <row r="839">
          <cell r="A839" t="str">
            <v>Erik Bergseth</v>
          </cell>
        </row>
        <row r="840">
          <cell r="A840" t="str">
            <v>Baard Hübert</v>
          </cell>
        </row>
        <row r="841">
          <cell r="A841" t="str">
            <v>William Kvisli</v>
          </cell>
        </row>
        <row r="842">
          <cell r="A842" t="str">
            <v>Kenneth Pedersen</v>
          </cell>
        </row>
        <row r="843">
          <cell r="A843" t="str">
            <v>Stein Elgethun</v>
          </cell>
        </row>
        <row r="844">
          <cell r="A844" t="str">
            <v>Eirik Larsen</v>
          </cell>
        </row>
        <row r="845">
          <cell r="A845" t="str">
            <v>Serina Koch</v>
          </cell>
        </row>
        <row r="846">
          <cell r="A846" t="str">
            <v>Anders Christie</v>
          </cell>
        </row>
        <row r="847">
          <cell r="A847" t="str">
            <v>Giacomo Pesci</v>
          </cell>
        </row>
        <row r="848">
          <cell r="A848" t="str">
            <v>Anders Søberg</v>
          </cell>
        </row>
        <row r="849">
          <cell r="A849" t="str">
            <v>Tonny Albrigtsen</v>
          </cell>
        </row>
        <row r="850">
          <cell r="A850" t="str">
            <v>Anders Søberg</v>
          </cell>
        </row>
        <row r="851">
          <cell r="A851" t="str">
            <v>Tormod Lang</v>
          </cell>
        </row>
        <row r="852">
          <cell r="A852" t="str">
            <v>Martin Lindboe</v>
          </cell>
        </row>
        <row r="853">
          <cell r="A853" t="str">
            <v>Tormod Lang</v>
          </cell>
        </row>
        <row r="854">
          <cell r="A854" t="str">
            <v>Parco Au</v>
          </cell>
        </row>
        <row r="855">
          <cell r="A855" t="str">
            <v>Anders Christie</v>
          </cell>
        </row>
        <row r="856">
          <cell r="A856" t="str">
            <v>Martin Lindboe</v>
          </cell>
        </row>
        <row r="857">
          <cell r="A857" t="str">
            <v>Tormod Lang</v>
          </cell>
        </row>
        <row r="858">
          <cell r="A858" t="str">
            <v>Viktor Hegerberg</v>
          </cell>
        </row>
        <row r="859">
          <cell r="A859" t="str">
            <v>Tonny Albrigtsen</v>
          </cell>
        </row>
        <row r="860">
          <cell r="A860" t="str">
            <v>Eirik Larsen</v>
          </cell>
        </row>
        <row r="861">
          <cell r="A861" t="str">
            <v>Kenneth Pedersen</v>
          </cell>
        </row>
        <row r="862">
          <cell r="A862" t="str">
            <v>Håvard Graff</v>
          </cell>
        </row>
        <row r="863">
          <cell r="A863" t="str">
            <v>Viktor Hegerberg</v>
          </cell>
        </row>
        <row r="864">
          <cell r="A864" t="str">
            <v>Baard Hübert</v>
          </cell>
        </row>
        <row r="865">
          <cell r="A865" t="str">
            <v>Jørgen Sørli</v>
          </cell>
        </row>
        <row r="866">
          <cell r="A866" t="str">
            <v>Tormod Lang</v>
          </cell>
        </row>
        <row r="867">
          <cell r="A867" t="str">
            <v>Håvard Graff</v>
          </cell>
        </row>
        <row r="868">
          <cell r="A868" t="str">
            <v>Eirik Larsen</v>
          </cell>
        </row>
        <row r="869">
          <cell r="A869" t="str">
            <v>Anders Christie</v>
          </cell>
        </row>
        <row r="870">
          <cell r="A870" t="str">
            <v>Giacomo Pesci</v>
          </cell>
        </row>
        <row r="871">
          <cell r="A871" t="str">
            <v>Jørgen Sørli</v>
          </cell>
        </row>
        <row r="872">
          <cell r="A872" t="str">
            <v>Tormod Lang</v>
          </cell>
        </row>
        <row r="873">
          <cell r="A873" t="str">
            <v>Bendik Hansen</v>
          </cell>
        </row>
        <row r="874">
          <cell r="A874" t="str">
            <v>Håvard Graff</v>
          </cell>
        </row>
        <row r="875">
          <cell r="A875" t="str">
            <v>Giacomo Pesci</v>
          </cell>
        </row>
        <row r="876">
          <cell r="A876" t="str">
            <v>Tormod Lang</v>
          </cell>
        </row>
        <row r="877">
          <cell r="A877" t="str">
            <v>Eirik Larsen</v>
          </cell>
        </row>
        <row r="878">
          <cell r="A878" t="str">
            <v>Stian Fuglaas</v>
          </cell>
        </row>
        <row r="879">
          <cell r="A879" t="str">
            <v>Martin Lindboe</v>
          </cell>
        </row>
        <row r="880">
          <cell r="A880" t="str">
            <v>Ferdinand Marnburg</v>
          </cell>
        </row>
        <row r="881">
          <cell r="A881" t="str">
            <v>William Kvisli</v>
          </cell>
        </row>
        <row r="882">
          <cell r="A882" t="str">
            <v>Erling André Hervik</v>
          </cell>
        </row>
        <row r="883">
          <cell r="A883" t="str">
            <v>Manuel Hlavinka</v>
          </cell>
        </row>
        <row r="884">
          <cell r="A884" t="str">
            <v>Tonny Albrigtsen</v>
          </cell>
        </row>
        <row r="885">
          <cell r="A885" t="str">
            <v>Baard Hübert</v>
          </cell>
        </row>
        <row r="886">
          <cell r="A886" t="str">
            <v>William Kvisli</v>
          </cell>
        </row>
        <row r="887">
          <cell r="A887" t="str">
            <v>Bendik Hansen</v>
          </cell>
        </row>
        <row r="888">
          <cell r="A888" t="str">
            <v>Manuel Hlavinka</v>
          </cell>
        </row>
        <row r="889">
          <cell r="A889" t="str">
            <v>Tonny Albrigtsen</v>
          </cell>
        </row>
        <row r="890">
          <cell r="A890" t="str">
            <v>Stian Fuglaas</v>
          </cell>
        </row>
        <row r="891">
          <cell r="A891" t="str">
            <v>Ferdinand Marnburg</v>
          </cell>
        </row>
        <row r="892">
          <cell r="A892" t="str">
            <v>Tormod Lang</v>
          </cell>
        </row>
        <row r="893">
          <cell r="A893" t="str">
            <v>Anders Søberg</v>
          </cell>
        </row>
        <row r="894">
          <cell r="A894" t="str">
            <v>Baard Hübert</v>
          </cell>
        </row>
        <row r="895">
          <cell r="A895" t="str">
            <v>Bendik Hansen</v>
          </cell>
        </row>
        <row r="896">
          <cell r="A896" t="str">
            <v>Erling André Hervik</v>
          </cell>
        </row>
        <row r="897">
          <cell r="A897" t="str">
            <v>Stian Fuglaas</v>
          </cell>
        </row>
        <row r="898">
          <cell r="A898" t="str">
            <v>Jørgen Sørli</v>
          </cell>
        </row>
        <row r="899">
          <cell r="A899" t="str">
            <v>Baard Hübert</v>
          </cell>
        </row>
        <row r="900">
          <cell r="A900" t="str">
            <v>Bendik Hansen</v>
          </cell>
        </row>
        <row r="901">
          <cell r="A901" t="str">
            <v>Stian Fuglaas</v>
          </cell>
        </row>
        <row r="902">
          <cell r="A902" t="str">
            <v>Ferdinand Marnburg</v>
          </cell>
        </row>
        <row r="903">
          <cell r="A903" t="str">
            <v>Parco Au</v>
          </cell>
        </row>
        <row r="904">
          <cell r="A904" t="str">
            <v>Baard Hübert</v>
          </cell>
        </row>
        <row r="905">
          <cell r="A905" t="str">
            <v>Serina Koch</v>
          </cell>
        </row>
        <row r="906">
          <cell r="A906" t="str">
            <v>Anders Christie</v>
          </cell>
        </row>
        <row r="907">
          <cell r="A907" t="str">
            <v>André Moshølen</v>
          </cell>
        </row>
        <row r="908">
          <cell r="A908" t="str">
            <v>Tonny Albrigtsen</v>
          </cell>
        </row>
        <row r="909">
          <cell r="A909" t="str">
            <v>Parco Au</v>
          </cell>
        </row>
        <row r="910">
          <cell r="A910" t="str">
            <v>Viktor Hegerberg</v>
          </cell>
        </row>
        <row r="911">
          <cell r="A911" t="str">
            <v>Manuel Hlavinka</v>
          </cell>
        </row>
        <row r="912">
          <cell r="A912" t="str">
            <v>Giacomo Pesci</v>
          </cell>
        </row>
        <row r="913">
          <cell r="A913" t="str">
            <v>Bendik Hansen</v>
          </cell>
        </row>
        <row r="914">
          <cell r="A914" t="str">
            <v>André Moshølen</v>
          </cell>
        </row>
        <row r="915">
          <cell r="A915" t="str">
            <v>Parco Au</v>
          </cell>
        </row>
        <row r="916">
          <cell r="A916" t="str">
            <v>Baard Hübert</v>
          </cell>
        </row>
        <row r="917">
          <cell r="A917" t="str">
            <v>Tonny Albrigtsen</v>
          </cell>
        </row>
        <row r="918">
          <cell r="A918" t="str">
            <v>Anders Christie</v>
          </cell>
        </row>
        <row r="919">
          <cell r="A919" t="str">
            <v>Stian Fuglaas</v>
          </cell>
        </row>
        <row r="920">
          <cell r="A920" t="str">
            <v>Jørgen Sørli</v>
          </cell>
        </row>
        <row r="921">
          <cell r="A921" t="str">
            <v>Parco Au</v>
          </cell>
        </row>
        <row r="922">
          <cell r="A922" t="str">
            <v>Martin Lindboe</v>
          </cell>
        </row>
        <row r="923">
          <cell r="A923" t="str">
            <v>Tonny Albrigtsen</v>
          </cell>
        </row>
        <row r="924">
          <cell r="A924" t="str">
            <v>Tormod Lang</v>
          </cell>
        </row>
        <row r="925">
          <cell r="A925" t="str">
            <v>Erik Bergseth</v>
          </cell>
        </row>
        <row r="926">
          <cell r="A926" t="str">
            <v>Stian Fuglaas</v>
          </cell>
        </row>
        <row r="927">
          <cell r="A927" t="str">
            <v>Serina Koch</v>
          </cell>
        </row>
        <row r="928">
          <cell r="A928" t="str">
            <v>André Moshølen</v>
          </cell>
        </row>
        <row r="929">
          <cell r="A929" t="str">
            <v>Parco Au</v>
          </cell>
        </row>
        <row r="930">
          <cell r="A930" t="str">
            <v>Tormod Lang</v>
          </cell>
        </row>
        <row r="931">
          <cell r="A931" t="str">
            <v>Manuel Hlavinka</v>
          </cell>
        </row>
        <row r="932">
          <cell r="A932" t="str">
            <v>Viktor Hegerberg</v>
          </cell>
        </row>
        <row r="933">
          <cell r="A933" t="str">
            <v>Baard Hübert</v>
          </cell>
        </row>
        <row r="934">
          <cell r="A934" t="str">
            <v>Erik Bergseth</v>
          </cell>
        </row>
        <row r="935">
          <cell r="A935" t="str">
            <v>Tormod Lang</v>
          </cell>
        </row>
        <row r="936">
          <cell r="A936" t="str">
            <v>Anders Søberg</v>
          </cell>
        </row>
        <row r="937">
          <cell r="A937" t="str">
            <v>Viktor Hegerberg</v>
          </cell>
        </row>
        <row r="938">
          <cell r="A938" t="str">
            <v>Erik Sathe</v>
          </cell>
        </row>
        <row r="939">
          <cell r="A939" t="str">
            <v>Erik Bergseth</v>
          </cell>
        </row>
        <row r="940">
          <cell r="A940" t="str">
            <v>Jørgen Sørli</v>
          </cell>
        </row>
        <row r="941">
          <cell r="A941" t="str">
            <v>Tormod Lang</v>
          </cell>
        </row>
        <row r="942">
          <cell r="A942" t="str">
            <v>Anders Søberg</v>
          </cell>
        </row>
        <row r="943">
          <cell r="A943" t="str">
            <v>Kenneth Pedersen</v>
          </cell>
        </row>
        <row r="944">
          <cell r="A944" t="str">
            <v>Giacomo Pesci</v>
          </cell>
        </row>
        <row r="945">
          <cell r="A945" t="str">
            <v>Eirik Larsen</v>
          </cell>
        </row>
        <row r="946">
          <cell r="A946" t="str">
            <v>Tonny Albrigtsen</v>
          </cell>
        </row>
        <row r="947">
          <cell r="A947" t="str">
            <v>Viktor Hegerberg</v>
          </cell>
        </row>
        <row r="948">
          <cell r="A948" t="str">
            <v>Kenneth Pedersen</v>
          </cell>
        </row>
        <row r="949">
          <cell r="A949" t="str">
            <v>Jørgen Sørli</v>
          </cell>
        </row>
        <row r="950">
          <cell r="A950" t="str">
            <v>Tonny Albrigtsen</v>
          </cell>
        </row>
        <row r="951">
          <cell r="A951" t="str">
            <v>Eirik Larsen</v>
          </cell>
        </row>
        <row r="952">
          <cell r="A952" t="str">
            <v>Viktor Hegerberg</v>
          </cell>
        </row>
        <row r="953">
          <cell r="A953" t="str">
            <v>Giacomo Pesci</v>
          </cell>
        </row>
        <row r="954">
          <cell r="A954" t="str">
            <v>Anders Søberg</v>
          </cell>
        </row>
        <row r="955">
          <cell r="A955" t="str">
            <v>Tormod Lang</v>
          </cell>
        </row>
        <row r="956">
          <cell r="A956" t="str">
            <v>Martin Lindboe</v>
          </cell>
        </row>
        <row r="957">
          <cell r="A957" t="str">
            <v>Viktor Hegerberg</v>
          </cell>
        </row>
        <row r="958">
          <cell r="A958" t="str">
            <v>Erik Bergseth</v>
          </cell>
        </row>
        <row r="959">
          <cell r="A959" t="str">
            <v>Tonny Albrigtsen</v>
          </cell>
        </row>
        <row r="960">
          <cell r="A960" t="str">
            <v>Jørgen Sørli</v>
          </cell>
        </row>
        <row r="961">
          <cell r="A961" t="str">
            <v>Anders Christie</v>
          </cell>
        </row>
        <row r="962">
          <cell r="A962" t="str">
            <v>Tonny Albrigtsen</v>
          </cell>
        </row>
        <row r="963">
          <cell r="A963" t="str">
            <v>Erik Sathe</v>
          </cell>
        </row>
        <row r="964">
          <cell r="A964" t="str">
            <v>Martin Lindboe</v>
          </cell>
        </row>
        <row r="965">
          <cell r="A965" t="str">
            <v>Jørgen Sørli</v>
          </cell>
        </row>
        <row r="966">
          <cell r="A966" t="str">
            <v>Peter Madsen</v>
          </cell>
        </row>
        <row r="967">
          <cell r="A967" t="str">
            <v>Erik Bergseth</v>
          </cell>
        </row>
        <row r="968">
          <cell r="A968" t="str">
            <v>Baard Hübert</v>
          </cell>
        </row>
        <row r="969">
          <cell r="A969" t="str">
            <v>Martin Lindboe</v>
          </cell>
        </row>
        <row r="970">
          <cell r="A970" t="str">
            <v>Jørgen Sørli</v>
          </cell>
        </row>
        <row r="971">
          <cell r="A971" t="str">
            <v>Peter Madsen</v>
          </cell>
        </row>
        <row r="972">
          <cell r="A972" t="str">
            <v>Anders Christie</v>
          </cell>
        </row>
        <row r="973">
          <cell r="A973" t="str">
            <v>Anders Søberg</v>
          </cell>
        </row>
        <row r="974">
          <cell r="A974" t="str">
            <v>Erik Sathe</v>
          </cell>
        </row>
        <row r="975">
          <cell r="A975" t="str">
            <v>Erik Bergseth</v>
          </cell>
        </row>
        <row r="976">
          <cell r="A976" t="str">
            <v>Tormod Lang</v>
          </cell>
        </row>
        <row r="977">
          <cell r="A977" t="str">
            <v>Anders Christie</v>
          </cell>
        </row>
        <row r="978">
          <cell r="A978" t="str">
            <v>Jørgen Sørli</v>
          </cell>
        </row>
        <row r="979">
          <cell r="A979" t="str">
            <v>Kenneth Pedersen</v>
          </cell>
        </row>
        <row r="980">
          <cell r="A980" t="str">
            <v>Peter Madsen</v>
          </cell>
        </row>
        <row r="981">
          <cell r="A981" t="str">
            <v>Anders Søberg</v>
          </cell>
        </row>
        <row r="982">
          <cell r="A982" t="str">
            <v>Erik Bergseth</v>
          </cell>
        </row>
        <row r="983">
          <cell r="A983" t="str">
            <v>Tormod Lang</v>
          </cell>
        </row>
        <row r="984">
          <cell r="A984" t="str">
            <v>André Moshølen</v>
          </cell>
        </row>
        <row r="985">
          <cell r="A985" t="str">
            <v>Eirik Larsen</v>
          </cell>
        </row>
        <row r="986">
          <cell r="A986" t="str">
            <v>Jørgen Sørli</v>
          </cell>
        </row>
        <row r="987">
          <cell r="A987" t="str">
            <v>Martin Lindboe</v>
          </cell>
        </row>
        <row r="988">
          <cell r="A988" t="str">
            <v>Giacomo Pesci</v>
          </cell>
        </row>
        <row r="989">
          <cell r="A989" t="str">
            <v>André Moshølen</v>
          </cell>
        </row>
        <row r="990">
          <cell r="A990" t="str">
            <v>Kenneth Pedersen</v>
          </cell>
        </row>
        <row r="991">
          <cell r="A991" t="str">
            <v>Eirik Larsen</v>
          </cell>
        </row>
        <row r="992">
          <cell r="A992" t="str">
            <v>Tormod Lang</v>
          </cell>
        </row>
        <row r="993">
          <cell r="A993" t="str">
            <v>Ferdinand Marnburg</v>
          </cell>
        </row>
        <row r="994">
          <cell r="A994" t="str">
            <v>Kenneth Pedersen</v>
          </cell>
        </row>
        <row r="995">
          <cell r="A995" t="str">
            <v>Baard Hübert</v>
          </cell>
        </row>
        <row r="996">
          <cell r="A996" t="str">
            <v>André Moshølen</v>
          </cell>
        </row>
        <row r="997">
          <cell r="A997" t="str">
            <v>Martin Lindboe</v>
          </cell>
        </row>
        <row r="998">
          <cell r="A998" t="str">
            <v>Jørgen Sørli</v>
          </cell>
        </row>
        <row r="999">
          <cell r="A999" t="str">
            <v>Giacomo Pesci</v>
          </cell>
        </row>
        <row r="1000">
          <cell r="A1000" t="str">
            <v>Tonny Albrigtsen</v>
          </cell>
        </row>
        <row r="1001">
          <cell r="A1001" t="str">
            <v>Kenneth Pedersen</v>
          </cell>
        </row>
        <row r="1002">
          <cell r="A1002" t="str">
            <v>Tormod Lang</v>
          </cell>
        </row>
        <row r="1003">
          <cell r="A1003" t="str">
            <v>Søren Hunskaar</v>
          </cell>
        </row>
        <row r="1004">
          <cell r="A1004" t="str">
            <v>Tonny Albrigtsen</v>
          </cell>
        </row>
        <row r="1005">
          <cell r="A1005" t="str">
            <v>Anders Christie</v>
          </cell>
        </row>
        <row r="1006">
          <cell r="A1006" t="str">
            <v>Tormod Lang</v>
          </cell>
        </row>
        <row r="1007">
          <cell r="A1007" t="str">
            <v>Stein Elgethun</v>
          </cell>
        </row>
        <row r="1008">
          <cell r="A1008" t="str">
            <v>Anders Christie</v>
          </cell>
        </row>
        <row r="1009">
          <cell r="A1009" t="str">
            <v>Tormod Lang</v>
          </cell>
        </row>
        <row r="1010">
          <cell r="A1010" t="str">
            <v>Søren Hunskaar</v>
          </cell>
        </row>
        <row r="1011">
          <cell r="A1011" t="str">
            <v>Stein Elgethun</v>
          </cell>
        </row>
        <row r="1012">
          <cell r="A1012" t="str">
            <v>Kenneth Pedersen</v>
          </cell>
        </row>
        <row r="1013">
          <cell r="A1013" t="str">
            <v>Martin Lindboe</v>
          </cell>
        </row>
        <row r="1014">
          <cell r="A1014" t="str">
            <v>Ferdinand Marnburg</v>
          </cell>
        </row>
        <row r="1015">
          <cell r="A1015" t="str">
            <v>Kenneth Pedersen</v>
          </cell>
        </row>
        <row r="1016">
          <cell r="A1016" t="str">
            <v>Giacomo Pesci</v>
          </cell>
        </row>
        <row r="1017">
          <cell r="A1017" t="str">
            <v>Martin Lindboe</v>
          </cell>
        </row>
        <row r="1018">
          <cell r="A1018" t="str">
            <v>Søren Hunskaar</v>
          </cell>
        </row>
        <row r="1019">
          <cell r="A1019" t="str">
            <v>Bendik Hansen</v>
          </cell>
        </row>
        <row r="1020">
          <cell r="A1020" t="str">
            <v>Petter Haukaas</v>
          </cell>
        </row>
        <row r="1021">
          <cell r="A1021" t="str">
            <v>Ferdinand Marnburg</v>
          </cell>
        </row>
        <row r="1022">
          <cell r="A1022" t="str">
            <v>Anders Søberg</v>
          </cell>
        </row>
        <row r="1023">
          <cell r="A1023" t="str">
            <v>Bendik Hansen</v>
          </cell>
        </row>
        <row r="1024">
          <cell r="A1024" t="str">
            <v>Kenneth Pedersen</v>
          </cell>
        </row>
        <row r="1025">
          <cell r="A1025" t="str">
            <v>Giacomo Pesci</v>
          </cell>
        </row>
        <row r="1026">
          <cell r="A1026" t="str">
            <v>Erik Sathe</v>
          </cell>
        </row>
        <row r="1027">
          <cell r="A1027" t="str">
            <v>Stein Elgethun</v>
          </cell>
        </row>
        <row r="1028">
          <cell r="A1028" t="str">
            <v>Bendik Hansen</v>
          </cell>
        </row>
        <row r="1029">
          <cell r="A1029" t="str">
            <v>Eirik Larsen</v>
          </cell>
        </row>
        <row r="1030">
          <cell r="A1030" t="str">
            <v>Kenneth Pedersen</v>
          </cell>
        </row>
        <row r="1031">
          <cell r="A1031" t="str">
            <v>Stein Elgethun</v>
          </cell>
        </row>
        <row r="1032">
          <cell r="A1032" t="str">
            <v>Anders Søberg</v>
          </cell>
        </row>
        <row r="1033">
          <cell r="A1033" t="str">
            <v>Petter Haukaas</v>
          </cell>
        </row>
        <row r="1034">
          <cell r="A1034" t="str">
            <v>Ferdinand Marnburg</v>
          </cell>
        </row>
        <row r="1035">
          <cell r="A1035" t="str">
            <v>Eirik Larsen</v>
          </cell>
        </row>
        <row r="1036">
          <cell r="A1036" t="str">
            <v>Stian Fuglaas</v>
          </cell>
        </row>
        <row r="1037">
          <cell r="A1037" t="str">
            <v>Tormod Lang</v>
          </cell>
        </row>
        <row r="1038">
          <cell r="A1038" t="str">
            <v>Tonny Albrigtsen</v>
          </cell>
        </row>
        <row r="1039">
          <cell r="A1039" t="str">
            <v>Kenneth Pedersen</v>
          </cell>
        </row>
        <row r="1040">
          <cell r="A1040" t="str">
            <v>Petter Haukaas</v>
          </cell>
        </row>
        <row r="1041">
          <cell r="A1041" t="str">
            <v>Anders Søberg</v>
          </cell>
        </row>
        <row r="1042">
          <cell r="A1042" t="str">
            <v>Stein Elgethun</v>
          </cell>
        </row>
        <row r="1043">
          <cell r="A1043" t="str">
            <v>Kenneth Pedersen</v>
          </cell>
        </row>
        <row r="1044">
          <cell r="A1044" t="str">
            <v>Petter Haukaas</v>
          </cell>
        </row>
        <row r="1045">
          <cell r="A1045" t="str">
            <v>Gunnar Sivertsen</v>
          </cell>
        </row>
        <row r="1046">
          <cell r="A1046" t="str">
            <v>Kenneth Pedersen</v>
          </cell>
        </row>
        <row r="1047">
          <cell r="A1047" t="str">
            <v>Christopher Øvrum</v>
          </cell>
        </row>
        <row r="1048">
          <cell r="A1048" t="str">
            <v>Tormod Lang</v>
          </cell>
        </row>
        <row r="1049">
          <cell r="A1049" t="str">
            <v>Ferdinand Marnburg</v>
          </cell>
        </row>
        <row r="1050">
          <cell r="A1050" t="str">
            <v>Parco Au</v>
          </cell>
        </row>
        <row r="1051">
          <cell r="A1051" t="str">
            <v>Tormod Lang</v>
          </cell>
        </row>
        <row r="1052">
          <cell r="A1052" t="str">
            <v>Søren Hunskaar</v>
          </cell>
        </row>
        <row r="1053">
          <cell r="A1053" t="str">
            <v>Tonny Albrigtsen</v>
          </cell>
        </row>
        <row r="1054">
          <cell r="A1054" t="str">
            <v>Gunnar Sivertsen</v>
          </cell>
        </row>
        <row r="1055">
          <cell r="A1055" t="str">
            <v>Ferdinand Marnburg</v>
          </cell>
        </row>
        <row r="1056">
          <cell r="A1056" t="str">
            <v>Stein Elgethun</v>
          </cell>
        </row>
        <row r="1057">
          <cell r="A1057" t="str">
            <v>Søren Hunskaar</v>
          </cell>
        </row>
        <row r="1058">
          <cell r="A1058" t="str">
            <v>Tormod Lang</v>
          </cell>
        </row>
        <row r="1059">
          <cell r="A1059" t="str">
            <v>Ferdinand Marnburg</v>
          </cell>
        </row>
        <row r="1060">
          <cell r="A1060" t="str">
            <v>Giacomo Pesci</v>
          </cell>
        </row>
        <row r="1061">
          <cell r="A1061" t="str">
            <v>Gunnar Sivertsen</v>
          </cell>
        </row>
        <row r="1062">
          <cell r="A1062" t="str">
            <v>Parco Au</v>
          </cell>
        </row>
        <row r="1063">
          <cell r="A1063" t="str">
            <v>Tonny Albrigtsen</v>
          </cell>
        </row>
        <row r="1064">
          <cell r="A1064" t="str">
            <v>Martin Lindboe</v>
          </cell>
        </row>
        <row r="1065">
          <cell r="A1065" t="str">
            <v>Tormod Lang</v>
          </cell>
        </row>
        <row r="1066">
          <cell r="A1066" t="str">
            <v>Ferdinand Marnburg</v>
          </cell>
        </row>
        <row r="1067">
          <cell r="A1067" t="str">
            <v>Stein Elgethun</v>
          </cell>
        </row>
        <row r="1068">
          <cell r="A1068" t="str">
            <v>Christopher Øvrum</v>
          </cell>
        </row>
        <row r="1069">
          <cell r="A1069" t="str">
            <v>Kenneth Pedersen</v>
          </cell>
        </row>
        <row r="1070">
          <cell r="A1070" t="str">
            <v>Tonny Albrigtsen</v>
          </cell>
        </row>
        <row r="1071">
          <cell r="A1071" t="str">
            <v>Eirik Larsen</v>
          </cell>
        </row>
        <row r="1072">
          <cell r="A1072" t="str">
            <v>Baard Hübert</v>
          </cell>
        </row>
        <row r="1073">
          <cell r="A1073" t="str">
            <v>Viktor Hegerberg</v>
          </cell>
        </row>
        <row r="1074">
          <cell r="A1074" t="str">
            <v>Anders Søberg</v>
          </cell>
        </row>
        <row r="1075">
          <cell r="A1075" t="str">
            <v>Anders Søberg</v>
          </cell>
        </row>
        <row r="1076">
          <cell r="A1076" t="str">
            <v>Giacomo Pesci</v>
          </cell>
        </row>
        <row r="1077">
          <cell r="A1077" t="str">
            <v>Baard Hübert</v>
          </cell>
        </row>
        <row r="1078">
          <cell r="A1078" t="str">
            <v>Stein Elgethun</v>
          </cell>
        </row>
        <row r="1079">
          <cell r="A1079" t="str">
            <v>Eirik Larsen</v>
          </cell>
        </row>
        <row r="1080">
          <cell r="A1080" t="str">
            <v>Tonny Albrigtsen</v>
          </cell>
        </row>
        <row r="1081">
          <cell r="A1081" t="str">
            <v>Anders Søberg</v>
          </cell>
        </row>
        <row r="1082">
          <cell r="A1082" t="str">
            <v>Ferdinand Marnburg</v>
          </cell>
        </row>
        <row r="1083">
          <cell r="A1083" t="str">
            <v>Giacomo Pesci</v>
          </cell>
        </row>
        <row r="1084">
          <cell r="A1084" t="str">
            <v>Kenneth Pedersen</v>
          </cell>
        </row>
        <row r="1085">
          <cell r="A1085" t="str">
            <v>Martin Lindboe</v>
          </cell>
        </row>
        <row r="1086">
          <cell r="A1086" t="str">
            <v>Anders Søberg</v>
          </cell>
        </row>
        <row r="1087">
          <cell r="A1087" t="str">
            <v>Baard Hübert</v>
          </cell>
        </row>
        <row r="1088">
          <cell r="A1088" t="str">
            <v>Stein Elgethun</v>
          </cell>
        </row>
        <row r="1089">
          <cell r="A1089" t="str">
            <v>Tormod Lang</v>
          </cell>
        </row>
        <row r="1090">
          <cell r="A1090" t="str">
            <v>Stein Elgethun</v>
          </cell>
        </row>
        <row r="1091">
          <cell r="A1091" t="str">
            <v>Christopher Øvrum</v>
          </cell>
        </row>
        <row r="1092">
          <cell r="A1092" t="str">
            <v>Kenneth Pedersen</v>
          </cell>
        </row>
        <row r="1093">
          <cell r="A1093" t="str">
            <v>Martin Lindboe</v>
          </cell>
        </row>
        <row r="1094">
          <cell r="A1094" t="str">
            <v>Eirik Larsen</v>
          </cell>
        </row>
        <row r="1095">
          <cell r="A1095" t="str">
            <v>Peter Madsen</v>
          </cell>
        </row>
        <row r="1096">
          <cell r="A1096" t="str">
            <v>Eirik Larsen</v>
          </cell>
        </row>
        <row r="1097">
          <cell r="A1097" t="str">
            <v>Tormod Lang</v>
          </cell>
        </row>
        <row r="1098">
          <cell r="A1098" t="str">
            <v>Christopher Øvrum</v>
          </cell>
        </row>
        <row r="1099">
          <cell r="A1099" t="str">
            <v>Martin Lindboe</v>
          </cell>
        </row>
        <row r="1100">
          <cell r="A1100" t="str">
            <v>Stein Elgethun</v>
          </cell>
        </row>
        <row r="1101">
          <cell r="A1101" t="str">
            <v>Viktor Hegerberg</v>
          </cell>
        </row>
        <row r="1102">
          <cell r="A1102" t="str">
            <v>Tormod Lang</v>
          </cell>
        </row>
        <row r="1103">
          <cell r="A1103" t="str">
            <v>Tonny Albrigtsen</v>
          </cell>
        </row>
        <row r="1104">
          <cell r="A1104" t="str">
            <v>Dante Forssberg</v>
          </cell>
        </row>
        <row r="1105">
          <cell r="A1105" t="str">
            <v>Eirik Larsen</v>
          </cell>
        </row>
        <row r="1106">
          <cell r="A1106" t="str">
            <v>Gunnar Sivertsen</v>
          </cell>
        </row>
        <row r="1107">
          <cell r="A1107" t="str">
            <v>Dante Forssberg</v>
          </cell>
        </row>
        <row r="1108">
          <cell r="A1108" t="str">
            <v>Kenneth Pedersen</v>
          </cell>
        </row>
        <row r="1109">
          <cell r="A1109" t="str">
            <v>Tormod Lang</v>
          </cell>
        </row>
        <row r="1110">
          <cell r="A1110" t="str">
            <v>Kenneth Pedersen</v>
          </cell>
        </row>
        <row r="1111">
          <cell r="A1111" t="str">
            <v>Manuel Hlavinka</v>
          </cell>
        </row>
        <row r="1112">
          <cell r="A1112" t="str">
            <v>Anders Søberg</v>
          </cell>
        </row>
        <row r="1113">
          <cell r="A1113" t="str">
            <v>Christopher Øvrum</v>
          </cell>
        </row>
        <row r="1114">
          <cell r="A1114" t="str">
            <v>Tonny Albrigtsen</v>
          </cell>
        </row>
        <row r="1115">
          <cell r="A1115" t="str">
            <v>Anders Søberg</v>
          </cell>
        </row>
        <row r="1116">
          <cell r="A1116" t="str">
            <v>Kenneth Pedersen</v>
          </cell>
        </row>
        <row r="1117">
          <cell r="A1117" t="str">
            <v>Tormod Lang</v>
          </cell>
        </row>
        <row r="1118">
          <cell r="A1118" t="str">
            <v>Stein Elgethun</v>
          </cell>
        </row>
        <row r="1119">
          <cell r="A1119" t="str">
            <v>Giacomo Pesci</v>
          </cell>
        </row>
        <row r="1120">
          <cell r="A1120" t="str">
            <v>Anders Søberg</v>
          </cell>
        </row>
        <row r="1121">
          <cell r="A1121" t="str">
            <v>Eirik Larsen</v>
          </cell>
        </row>
        <row r="1122">
          <cell r="A1122" t="str">
            <v>Kenneth Pedersen</v>
          </cell>
        </row>
        <row r="1123">
          <cell r="A1123" t="str">
            <v>Tormod Lang</v>
          </cell>
        </row>
        <row r="1124">
          <cell r="A1124" t="str">
            <v>Stein Elgethun</v>
          </cell>
        </row>
        <row r="1125">
          <cell r="A1125" t="str">
            <v>Manuel Hlavinka</v>
          </cell>
        </row>
        <row r="1126">
          <cell r="A1126" t="str">
            <v>Anders Søberg</v>
          </cell>
        </row>
        <row r="1127">
          <cell r="A1127" t="str">
            <v>Christopher Øvrum</v>
          </cell>
        </row>
        <row r="1128">
          <cell r="A1128" t="str">
            <v>Giacomo Pesci</v>
          </cell>
        </row>
        <row r="1129">
          <cell r="A1129" t="str">
            <v>Kenneth Pedersen</v>
          </cell>
        </row>
        <row r="1130">
          <cell r="A1130" t="str">
            <v>Christopher Øvrum</v>
          </cell>
        </row>
        <row r="1131">
          <cell r="A1131" t="str">
            <v>Kenneth Pedersen</v>
          </cell>
        </row>
        <row r="1132">
          <cell r="A1132" t="str">
            <v>Stian Fuglaas</v>
          </cell>
        </row>
        <row r="1133">
          <cell r="A1133" t="str">
            <v>Tormod Lang</v>
          </cell>
        </row>
        <row r="1134">
          <cell r="A1134" t="str">
            <v>Viktor Hegerberg</v>
          </cell>
        </row>
        <row r="1135">
          <cell r="A1135" t="str">
            <v>Anders Søberg</v>
          </cell>
        </row>
        <row r="1136">
          <cell r="A1136" t="str">
            <v>Kenneth Pedersen</v>
          </cell>
        </row>
        <row r="1137">
          <cell r="A1137" t="str">
            <v>Jørgen Sørli</v>
          </cell>
        </row>
        <row r="1138">
          <cell r="A1138" t="str">
            <v>Viktor Hegerberg</v>
          </cell>
        </row>
        <row r="1139">
          <cell r="A1139" t="str">
            <v>Tormod Lang</v>
          </cell>
        </row>
        <row r="1140">
          <cell r="A1140" t="str">
            <v>Jørgen Sørli</v>
          </cell>
        </row>
        <row r="1141">
          <cell r="A1141" t="str">
            <v>Kenneth Pedersen</v>
          </cell>
        </row>
        <row r="1142">
          <cell r="A1142" t="str">
            <v>Tonny Albrigtsen</v>
          </cell>
        </row>
        <row r="1143">
          <cell r="A1143" t="str">
            <v>Manuel Hlavinka</v>
          </cell>
        </row>
        <row r="1144">
          <cell r="A1144" t="str">
            <v>Erik Bergseth</v>
          </cell>
        </row>
        <row r="1145">
          <cell r="A1145" t="str">
            <v>Jørgen Sørli</v>
          </cell>
        </row>
        <row r="1146">
          <cell r="A1146" t="str">
            <v>Erik Bergseth</v>
          </cell>
        </row>
        <row r="1147">
          <cell r="A1147" t="str">
            <v>Tormod Lang</v>
          </cell>
        </row>
        <row r="1148">
          <cell r="A1148" t="str">
            <v>Kenneth Pedersen</v>
          </cell>
        </row>
        <row r="1149">
          <cell r="A1149" t="str">
            <v>Giacomo Pesci</v>
          </cell>
        </row>
        <row r="1150">
          <cell r="A1150" t="str">
            <v>Anders Søberg</v>
          </cell>
        </row>
        <row r="1151">
          <cell r="A1151" t="str">
            <v>Tormod Lang</v>
          </cell>
        </row>
        <row r="1152">
          <cell r="A1152" t="str">
            <v>Viktor Hegerberg</v>
          </cell>
        </row>
        <row r="1153">
          <cell r="A1153" t="str">
            <v>Mikael Gyhagen</v>
          </cell>
        </row>
        <row r="1154">
          <cell r="A1154" t="str">
            <v>Anders Søberg</v>
          </cell>
        </row>
        <row r="1155">
          <cell r="A1155" t="str">
            <v>Bendik Hansen</v>
          </cell>
        </row>
        <row r="1156">
          <cell r="A1156" t="str">
            <v>Mikael Gyhagen</v>
          </cell>
        </row>
        <row r="1157">
          <cell r="A1157" t="str">
            <v>Viktor Hegerberg</v>
          </cell>
        </row>
        <row r="1158">
          <cell r="A1158" t="str">
            <v>Giacomo Pesci</v>
          </cell>
        </row>
        <row r="1159">
          <cell r="A1159" t="str">
            <v>Anders Søberg</v>
          </cell>
        </row>
        <row r="1160">
          <cell r="A1160" t="str">
            <v>Gunnar Sivertsen</v>
          </cell>
        </row>
        <row r="1161">
          <cell r="A1161" t="str">
            <v>Mikael Gyhagen</v>
          </cell>
        </row>
        <row r="1162">
          <cell r="A1162" t="str">
            <v>Parco Au</v>
          </cell>
        </row>
        <row r="1163">
          <cell r="A1163" t="str">
            <v>Tormod Lang</v>
          </cell>
        </row>
        <row r="1164">
          <cell r="A1164" t="str">
            <v>Anders Søberg</v>
          </cell>
        </row>
        <row r="1165">
          <cell r="A1165" t="str">
            <v>Tonny Albrigtsen</v>
          </cell>
        </row>
        <row r="1166">
          <cell r="A1166" t="str">
            <v>Gunnar Sivertsen</v>
          </cell>
        </row>
        <row r="1167">
          <cell r="A1167" t="str">
            <v>Mikael Gyhagen</v>
          </cell>
        </row>
        <row r="1168">
          <cell r="A1168" t="str">
            <v>Giacomo Pesci</v>
          </cell>
        </row>
        <row r="1169">
          <cell r="A1169" t="str">
            <v>Kenneth Pedersen</v>
          </cell>
        </row>
        <row r="1170">
          <cell r="A1170" t="str">
            <v>Jørgen Sørli</v>
          </cell>
        </row>
        <row r="1171">
          <cell r="A1171" t="str">
            <v>Tonny Albrigtsen</v>
          </cell>
        </row>
        <row r="1172">
          <cell r="A1172" t="str">
            <v>Anders Søberg</v>
          </cell>
        </row>
        <row r="1173">
          <cell r="A1173" t="str">
            <v>Stein Elgethun</v>
          </cell>
        </row>
        <row r="1174">
          <cell r="A1174" t="str">
            <v>Viktor Hegerberg</v>
          </cell>
        </row>
        <row r="1175">
          <cell r="A1175" t="str">
            <v>Giacomo Pesci</v>
          </cell>
        </row>
        <row r="1176">
          <cell r="A1176" t="str">
            <v>Jørgen Sørli</v>
          </cell>
        </row>
        <row r="1177">
          <cell r="A1177" t="str">
            <v>Søren Hunskaar</v>
          </cell>
        </row>
        <row r="1178">
          <cell r="A1178" t="str">
            <v>Stian Fuglaas</v>
          </cell>
        </row>
        <row r="1179">
          <cell r="A1179" t="str">
            <v>Anders Søberg</v>
          </cell>
        </row>
        <row r="1180">
          <cell r="A1180" t="str">
            <v>Jørgen Sørli</v>
          </cell>
        </row>
        <row r="1181">
          <cell r="A1181" t="str">
            <v>Giacomo Pesci</v>
          </cell>
        </row>
        <row r="1182">
          <cell r="A1182" t="str">
            <v>Viktor Hegerberg</v>
          </cell>
        </row>
        <row r="1183">
          <cell r="A1183" t="str">
            <v>Stein Elgethun</v>
          </cell>
        </row>
        <row r="1184">
          <cell r="A1184" t="str">
            <v>Giacomo Pesci</v>
          </cell>
        </row>
        <row r="1185">
          <cell r="A1185" t="str">
            <v>Søren Hunskaar</v>
          </cell>
        </row>
        <row r="1186">
          <cell r="A1186" t="str">
            <v>Kenneth Pedersen</v>
          </cell>
        </row>
        <row r="1187">
          <cell r="A1187" t="str">
            <v>Stein Elgethun</v>
          </cell>
        </row>
        <row r="1188">
          <cell r="A1188" t="str">
            <v>Daniel Norum</v>
          </cell>
        </row>
        <row r="1189">
          <cell r="A1189" t="str">
            <v>Martin Lindboe</v>
          </cell>
        </row>
        <row r="1190">
          <cell r="A1190" t="str">
            <v>Håkon Gulbrandsen</v>
          </cell>
        </row>
        <row r="1191">
          <cell r="A1191" t="str">
            <v>Dante Forssberg</v>
          </cell>
        </row>
        <row r="1192">
          <cell r="A1192" t="str">
            <v>Giacomo Pesci</v>
          </cell>
        </row>
        <row r="1193">
          <cell r="A1193" t="str">
            <v>Anders Søberg</v>
          </cell>
        </row>
        <row r="1194">
          <cell r="A1194" t="str">
            <v>Stian Fuglaas</v>
          </cell>
        </row>
        <row r="1195">
          <cell r="A1195" t="str">
            <v>William Kvisli</v>
          </cell>
        </row>
        <row r="1196">
          <cell r="A1196" t="str">
            <v>Anders Christie</v>
          </cell>
        </row>
        <row r="1197">
          <cell r="A1197" t="str">
            <v>Tonny Albrigtsen</v>
          </cell>
        </row>
        <row r="1198">
          <cell r="A1198" t="str">
            <v>Kenneth Pedersen</v>
          </cell>
        </row>
        <row r="1199">
          <cell r="A1199" t="str">
            <v>Tormod Lang</v>
          </cell>
        </row>
        <row r="1200">
          <cell r="A1200" t="str">
            <v>Dante Forssberg</v>
          </cell>
        </row>
        <row r="1201">
          <cell r="A1201" t="str">
            <v>Stian Fuglaas</v>
          </cell>
        </row>
        <row r="1202">
          <cell r="A1202" t="str">
            <v>Daniel Norum</v>
          </cell>
        </row>
        <row r="1203">
          <cell r="A1203" t="str">
            <v>Giacomo Pesci</v>
          </cell>
        </row>
        <row r="1204">
          <cell r="A1204" t="str">
            <v>Jørgen Sørli</v>
          </cell>
        </row>
        <row r="1205">
          <cell r="A1205" t="str">
            <v>Anders Christie</v>
          </cell>
        </row>
        <row r="1206">
          <cell r="A1206" t="str">
            <v>Tonny Albrigtsen</v>
          </cell>
        </row>
        <row r="1207">
          <cell r="A1207" t="str">
            <v>Dante Forssberg</v>
          </cell>
        </row>
        <row r="1208">
          <cell r="A1208" t="str">
            <v>Martin Lindboe</v>
          </cell>
        </row>
        <row r="1209">
          <cell r="A1209" t="str">
            <v>Daniel Norum</v>
          </cell>
        </row>
        <row r="1210">
          <cell r="A1210" t="str">
            <v>Viktor Hegerberg</v>
          </cell>
        </row>
        <row r="1211">
          <cell r="A1211" t="str">
            <v>Jørgen Sørli</v>
          </cell>
        </row>
        <row r="1212">
          <cell r="A1212" t="str">
            <v>William Kvisli</v>
          </cell>
        </row>
        <row r="1213">
          <cell r="A1213" t="str">
            <v>Gunnar Sivertsen</v>
          </cell>
        </row>
        <row r="1214">
          <cell r="A1214" t="str">
            <v>Tormod Lang</v>
          </cell>
        </row>
        <row r="1215">
          <cell r="A1215" t="str">
            <v>Tonny Albrigtsen</v>
          </cell>
        </row>
        <row r="1216">
          <cell r="A1216" t="str">
            <v>Martin Lindboe</v>
          </cell>
        </row>
        <row r="1217">
          <cell r="A1217" t="str">
            <v>Viktor Hegerberg</v>
          </cell>
        </row>
        <row r="1218">
          <cell r="A1218" t="str">
            <v>Stein Elgethun</v>
          </cell>
        </row>
        <row r="1219">
          <cell r="A1219" t="str">
            <v>Giacomo Pesci</v>
          </cell>
        </row>
        <row r="1220">
          <cell r="A1220" t="str">
            <v>Daniel Norum</v>
          </cell>
        </row>
        <row r="1221">
          <cell r="A1221" t="str">
            <v>Stian Fuglaas</v>
          </cell>
        </row>
        <row r="1222">
          <cell r="A1222" t="str">
            <v>Stian Fuglaas</v>
          </cell>
        </row>
        <row r="1223">
          <cell r="A1223" t="str">
            <v>Eirik Larsen</v>
          </cell>
        </row>
        <row r="1224">
          <cell r="A1224" t="str">
            <v>Giacomo Pesci</v>
          </cell>
        </row>
        <row r="1225">
          <cell r="A1225" t="str">
            <v>Anders Søberg</v>
          </cell>
        </row>
        <row r="1226">
          <cell r="A1226" t="str">
            <v>Eirik Larsen</v>
          </cell>
        </row>
        <row r="1227">
          <cell r="A1227" t="str">
            <v>Tonny Albrigtsen</v>
          </cell>
        </row>
        <row r="1228">
          <cell r="A1228" t="str">
            <v>Tormod Lang</v>
          </cell>
        </row>
        <row r="1229">
          <cell r="A1229" t="str">
            <v>Kenneth Pedersen</v>
          </cell>
        </row>
        <row r="1230">
          <cell r="A1230" t="str">
            <v>Viktor Hegerberg</v>
          </cell>
        </row>
        <row r="1231">
          <cell r="A1231" t="str">
            <v>Stian Fuglaas</v>
          </cell>
        </row>
        <row r="1232">
          <cell r="A1232" t="str">
            <v>Anders Søberg</v>
          </cell>
        </row>
        <row r="1233">
          <cell r="A1233" t="str">
            <v>Giacomo Pesci</v>
          </cell>
        </row>
        <row r="1234">
          <cell r="A1234" t="str">
            <v>Tonny Albrigtsen</v>
          </cell>
        </row>
        <row r="1235">
          <cell r="A1235" t="str">
            <v>Viktor Hegerberg</v>
          </cell>
        </row>
        <row r="1236">
          <cell r="A1236" t="str">
            <v>Stein Elgethun</v>
          </cell>
        </row>
        <row r="1237">
          <cell r="A1237" t="str">
            <v>Stian Fuglaas</v>
          </cell>
        </row>
        <row r="1238">
          <cell r="A1238" t="str">
            <v>Tonny Albrigtsen</v>
          </cell>
        </row>
        <row r="1239">
          <cell r="A1239" t="str">
            <v>Tormod Lang</v>
          </cell>
        </row>
        <row r="1240">
          <cell r="A1240" t="str">
            <v>Parco Au</v>
          </cell>
        </row>
        <row r="1241">
          <cell r="A1241" t="str">
            <v>Kenneth Pedersen</v>
          </cell>
        </row>
        <row r="1242">
          <cell r="A1242" t="str">
            <v>Falk Tyssebotn</v>
          </cell>
        </row>
        <row r="1243">
          <cell r="A1243" t="str">
            <v>Viktor Hegerberg</v>
          </cell>
        </row>
        <row r="1244">
          <cell r="A1244" t="str">
            <v>Martin Lindboe</v>
          </cell>
        </row>
        <row r="1245">
          <cell r="A1245" t="str">
            <v>Kenneth Pedersen</v>
          </cell>
        </row>
        <row r="1246">
          <cell r="A1246" t="str">
            <v>Tonny Albrigtsen</v>
          </cell>
        </row>
        <row r="1247">
          <cell r="A1247" t="str">
            <v>Parco Au</v>
          </cell>
        </row>
        <row r="1248">
          <cell r="A1248" t="str">
            <v>Falk Tyssebotn</v>
          </cell>
        </row>
        <row r="1249">
          <cell r="A1249" t="str">
            <v>Giacomo Pesci</v>
          </cell>
        </row>
        <row r="1250">
          <cell r="A1250" t="str">
            <v>Tonny Albrigtsen</v>
          </cell>
        </row>
        <row r="1251">
          <cell r="A1251" t="str">
            <v>Tormod Lang</v>
          </cell>
        </row>
        <row r="1252">
          <cell r="A1252" t="str">
            <v>Kenneth Pedersen</v>
          </cell>
        </row>
        <row r="1253">
          <cell r="A1253" t="str">
            <v>Parco Au</v>
          </cell>
        </row>
        <row r="1254">
          <cell r="A1254" t="str">
            <v>Giacomo Pesci</v>
          </cell>
        </row>
        <row r="1255">
          <cell r="A1255" t="str">
            <v>Søren Hunskaar</v>
          </cell>
        </row>
        <row r="1256">
          <cell r="A1256" t="str">
            <v>Tormod Lang</v>
          </cell>
        </row>
        <row r="1257">
          <cell r="A1257" t="str">
            <v>Martin Lindboe</v>
          </cell>
        </row>
        <row r="1258">
          <cell r="A1258" t="str">
            <v>Giacomo Pesci</v>
          </cell>
        </row>
        <row r="1259">
          <cell r="A1259" t="str">
            <v>Gunnar Sivertsen</v>
          </cell>
        </row>
        <row r="1260">
          <cell r="A1260" t="str">
            <v>Viktor Hegerberg</v>
          </cell>
        </row>
        <row r="1261">
          <cell r="A1261" t="str">
            <v>Anders Christie</v>
          </cell>
        </row>
        <row r="1262">
          <cell r="A1262" t="str">
            <v>Marius Presterud</v>
          </cell>
        </row>
        <row r="1263">
          <cell r="A1263" t="str">
            <v>Eirik Larsen</v>
          </cell>
        </row>
        <row r="1264">
          <cell r="A1264" t="str">
            <v>Viktor Hegerberg</v>
          </cell>
        </row>
        <row r="1265">
          <cell r="A1265" t="str">
            <v>Stein Elgethun</v>
          </cell>
        </row>
        <row r="1266">
          <cell r="A1266" t="str">
            <v>Viktor Hegerberg</v>
          </cell>
        </row>
        <row r="1267">
          <cell r="A1267" t="str">
            <v>Stein Elgethun</v>
          </cell>
        </row>
        <row r="1268">
          <cell r="A1268" t="str">
            <v>Gunnar Sivertsen</v>
          </cell>
        </row>
        <row r="1269">
          <cell r="A1269" t="str">
            <v>Eirik Larsen</v>
          </cell>
        </row>
        <row r="1270">
          <cell r="A1270" t="str">
            <v>Gunnar Sivertsen</v>
          </cell>
        </row>
        <row r="1271">
          <cell r="A1271" t="str">
            <v>Tormod Lang</v>
          </cell>
        </row>
        <row r="1272">
          <cell r="A1272" t="str">
            <v>Anders Søberg</v>
          </cell>
        </row>
        <row r="1273">
          <cell r="A1273" t="str">
            <v>Stein Elgethun</v>
          </cell>
        </row>
        <row r="1274">
          <cell r="A1274" t="str">
            <v>Viktor Hegerberg</v>
          </cell>
        </row>
        <row r="1275">
          <cell r="A1275" t="str">
            <v>Anders Søberg</v>
          </cell>
        </row>
        <row r="1276">
          <cell r="A1276" t="str">
            <v>Eirik Larsen</v>
          </cell>
        </row>
        <row r="1277">
          <cell r="A1277" t="str">
            <v>Anders Christie</v>
          </cell>
        </row>
        <row r="1278">
          <cell r="A1278" t="str">
            <v>Stein Elgethun</v>
          </cell>
        </row>
        <row r="1279">
          <cell r="A1279" t="str">
            <v>Tormod Lang</v>
          </cell>
        </row>
        <row r="1280">
          <cell r="A1280" t="str">
            <v>Kenneth Pedersen</v>
          </cell>
        </row>
        <row r="1281">
          <cell r="A1281" t="str">
            <v>Gunnar Sivertsen</v>
          </cell>
        </row>
        <row r="1282">
          <cell r="A1282" t="str">
            <v>Stian Fuglaas</v>
          </cell>
        </row>
        <row r="1283">
          <cell r="A1283" t="str">
            <v>Dante Forssberg</v>
          </cell>
        </row>
        <row r="1284">
          <cell r="A1284" t="str">
            <v>Joakim Aarseth</v>
          </cell>
        </row>
        <row r="1285">
          <cell r="A1285" t="str">
            <v>Kenneth Pedersen</v>
          </cell>
        </row>
        <row r="1286">
          <cell r="A1286" t="str">
            <v>Gunnar Sivertsen</v>
          </cell>
        </row>
        <row r="1287">
          <cell r="A1287" t="str">
            <v>Martin Lindboe</v>
          </cell>
        </row>
        <row r="1288">
          <cell r="A1288" t="str">
            <v>Joakim Aarseth</v>
          </cell>
        </row>
        <row r="1289">
          <cell r="A1289" t="str">
            <v>Tormod Lang</v>
          </cell>
        </row>
        <row r="1290">
          <cell r="A1290" t="str">
            <v>Stein Elgethun</v>
          </cell>
        </row>
        <row r="1291">
          <cell r="A1291" t="str">
            <v>Erling André Hervik</v>
          </cell>
        </row>
        <row r="1292">
          <cell r="A1292" t="str">
            <v>Gunnar Sivertsen</v>
          </cell>
        </row>
        <row r="1293">
          <cell r="A1293" t="str">
            <v>Kenneth Pedersen</v>
          </cell>
        </row>
        <row r="1294">
          <cell r="A1294" t="str">
            <v>Tonny Albrigtsen</v>
          </cell>
        </row>
        <row r="1295">
          <cell r="A1295" t="str">
            <v>Stein Elgethun</v>
          </cell>
        </row>
        <row r="1296">
          <cell r="A1296" t="str">
            <v>Baard Hübert</v>
          </cell>
        </row>
        <row r="1297">
          <cell r="A1297" t="str">
            <v>Viktor Hegerberg</v>
          </cell>
        </row>
        <row r="1298">
          <cell r="A1298" t="str">
            <v>Tormod Lang</v>
          </cell>
        </row>
        <row r="1299">
          <cell r="A1299" t="str">
            <v>Gunnar Sivertsen</v>
          </cell>
        </row>
        <row r="1300">
          <cell r="A1300" t="str">
            <v>Dante Forssberg</v>
          </cell>
        </row>
        <row r="1301">
          <cell r="A1301" t="str">
            <v>Stian Fuglaas</v>
          </cell>
        </row>
        <row r="1302">
          <cell r="A1302" t="str">
            <v>Anders Søberg</v>
          </cell>
        </row>
        <row r="1303">
          <cell r="A1303" t="str">
            <v>Baard Hübert</v>
          </cell>
        </row>
        <row r="1304">
          <cell r="A1304" t="str">
            <v>Erling André Hervik</v>
          </cell>
        </row>
        <row r="1305">
          <cell r="A1305" t="str">
            <v>Martin Lindboe</v>
          </cell>
        </row>
        <row r="1306">
          <cell r="A1306" t="str">
            <v>Anders Christie</v>
          </cell>
        </row>
        <row r="1307">
          <cell r="A1307" t="str">
            <v>Anders Søberg</v>
          </cell>
        </row>
        <row r="1308">
          <cell r="A1308" t="str">
            <v>Christopher Øvrum</v>
          </cell>
        </row>
        <row r="1309">
          <cell r="A1309" t="str">
            <v>Viktor Hegerberg</v>
          </cell>
        </row>
        <row r="1310">
          <cell r="A1310" t="str">
            <v>Tormod Lang</v>
          </cell>
        </row>
        <row r="1311">
          <cell r="A1311" t="str">
            <v>Petter Haukaas</v>
          </cell>
        </row>
        <row r="1312">
          <cell r="A1312" t="str">
            <v>Anders Christie</v>
          </cell>
        </row>
        <row r="1313">
          <cell r="A1313" t="str">
            <v>Tormod Lang</v>
          </cell>
        </row>
        <row r="1314">
          <cell r="A1314" t="str">
            <v>Christopher Øvrum</v>
          </cell>
        </row>
        <row r="1315">
          <cell r="A1315" t="str">
            <v>Anders Søberg</v>
          </cell>
        </row>
        <row r="1316">
          <cell r="A1316" t="str">
            <v>Stein Elgethun</v>
          </cell>
        </row>
        <row r="1317">
          <cell r="A1317" t="str">
            <v>Anders Søberg</v>
          </cell>
        </row>
        <row r="1318">
          <cell r="A1318" t="str">
            <v>Jørgen Sørli</v>
          </cell>
        </row>
        <row r="1319">
          <cell r="A1319" t="str">
            <v>Tormod Lang</v>
          </cell>
        </row>
        <row r="1320">
          <cell r="A1320" t="str">
            <v>Tonny Albrigtsen</v>
          </cell>
        </row>
        <row r="1321">
          <cell r="A1321" t="str">
            <v>Stein Elgethun</v>
          </cell>
        </row>
        <row r="1322">
          <cell r="A1322" t="str">
            <v>Tormod Lang</v>
          </cell>
        </row>
        <row r="1323">
          <cell r="A1323" t="str">
            <v>Parco Au</v>
          </cell>
        </row>
        <row r="1324">
          <cell r="A1324" t="str">
            <v>Falk Tyssebotn</v>
          </cell>
        </row>
        <row r="1325">
          <cell r="A1325" t="str">
            <v>Anders Christie</v>
          </cell>
        </row>
        <row r="1326">
          <cell r="A1326" t="str">
            <v>Parco Au</v>
          </cell>
        </row>
        <row r="1327">
          <cell r="A1327" t="str">
            <v>Bendik Hansen</v>
          </cell>
        </row>
        <row r="1328">
          <cell r="A1328" t="str">
            <v>Jørgen Sørli</v>
          </cell>
        </row>
        <row r="1329">
          <cell r="A1329" t="str">
            <v>Falk Tyssebotn</v>
          </cell>
        </row>
        <row r="1330">
          <cell r="A1330" t="str">
            <v>Bendik Hansen</v>
          </cell>
        </row>
        <row r="1331">
          <cell r="A1331" t="str">
            <v>Marius Presterud</v>
          </cell>
        </row>
        <row r="1332">
          <cell r="A1332" t="str">
            <v>Anders Christie</v>
          </cell>
        </row>
        <row r="1333">
          <cell r="A1333" t="str">
            <v>Jørgen Sørli</v>
          </cell>
        </row>
        <row r="1334">
          <cell r="A1334" t="str">
            <v>Falk Tyssebotn</v>
          </cell>
        </row>
        <row r="1335">
          <cell r="A1335" t="str">
            <v>Bendik Hansen</v>
          </cell>
        </row>
        <row r="1336">
          <cell r="A1336" t="str">
            <v>Parco Au</v>
          </cell>
        </row>
        <row r="1337">
          <cell r="A1337" t="str">
            <v>Tormod Lang</v>
          </cell>
        </row>
        <row r="1338">
          <cell r="A1338" t="str">
            <v>Kenneth Pedersen</v>
          </cell>
        </row>
        <row r="1339">
          <cell r="A1339" t="str">
            <v>Tormod Lang</v>
          </cell>
        </row>
        <row r="1340">
          <cell r="A1340" t="str">
            <v>Parco Au</v>
          </cell>
        </row>
        <row r="1341">
          <cell r="A1341" t="str">
            <v>Kenneth Pedersen</v>
          </cell>
        </row>
        <row r="1342">
          <cell r="A1342" t="str">
            <v>Giacomo Pesci</v>
          </cell>
        </row>
        <row r="1343">
          <cell r="A1343" t="str">
            <v>Joakim Sørgård</v>
          </cell>
        </row>
        <row r="1344">
          <cell r="A1344" t="str">
            <v>Kenneth Pedersen</v>
          </cell>
        </row>
        <row r="1345">
          <cell r="A1345" t="str">
            <v>Tormod Lang</v>
          </cell>
        </row>
        <row r="1346">
          <cell r="A1346" t="str">
            <v>Kenneth Pedersen</v>
          </cell>
        </row>
        <row r="1347">
          <cell r="A1347" t="str">
            <v>Viktor Hegerberg</v>
          </cell>
        </row>
        <row r="1348">
          <cell r="A1348" t="str">
            <v>Kenneth Pedersen</v>
          </cell>
        </row>
        <row r="1349">
          <cell r="A1349" t="str">
            <v>Gunnar Sivertsen</v>
          </cell>
        </row>
        <row r="1350">
          <cell r="A1350" t="str">
            <v>Viktor Hegerberg</v>
          </cell>
        </row>
        <row r="1351">
          <cell r="A1351" t="str">
            <v>Tormod Lang</v>
          </cell>
        </row>
        <row r="1352">
          <cell r="A1352" t="str">
            <v>Parco Au</v>
          </cell>
        </row>
        <row r="1353">
          <cell r="A1353" t="str">
            <v>Kenneth Pedersen</v>
          </cell>
        </row>
        <row r="1354">
          <cell r="A1354" t="str">
            <v>Stian Fuglaas</v>
          </cell>
        </row>
        <row r="1355">
          <cell r="A1355" t="str">
            <v>Magnus Røger</v>
          </cell>
        </row>
        <row r="1356">
          <cell r="A1356" t="str">
            <v>Eirik Larsen</v>
          </cell>
        </row>
        <row r="1357">
          <cell r="A1357" t="str">
            <v>Arvin Graff</v>
          </cell>
        </row>
        <row r="1358">
          <cell r="A1358" t="str">
            <v>Håvard Graff</v>
          </cell>
        </row>
        <row r="1359">
          <cell r="A1359" t="str">
            <v>Parco Au</v>
          </cell>
        </row>
        <row r="1360">
          <cell r="A1360" t="str">
            <v>Kenneth Pedersen</v>
          </cell>
        </row>
        <row r="1361">
          <cell r="A1361" t="str">
            <v>Håvard Graff</v>
          </cell>
        </row>
        <row r="1362">
          <cell r="A1362" t="str">
            <v>Ian Fox</v>
          </cell>
        </row>
        <row r="1363">
          <cell r="A1363" t="str">
            <v>Stian Fuglaas</v>
          </cell>
        </row>
        <row r="1364">
          <cell r="A1364" t="str">
            <v>Parco Au</v>
          </cell>
        </row>
        <row r="1365">
          <cell r="A1365" t="str">
            <v>Baard Hübert</v>
          </cell>
        </row>
        <row r="1366">
          <cell r="A1366" t="str">
            <v>Stian Fuglaas</v>
          </cell>
        </row>
        <row r="1367">
          <cell r="A1367" t="str">
            <v>Håvard Graff</v>
          </cell>
        </row>
        <row r="1368">
          <cell r="A1368" t="str">
            <v>Arvin Graff</v>
          </cell>
        </row>
        <row r="1369">
          <cell r="A1369" t="str">
            <v>Kenneth Pedersen</v>
          </cell>
        </row>
        <row r="1370">
          <cell r="A1370" t="str">
            <v>Parco Au</v>
          </cell>
        </row>
        <row r="1371">
          <cell r="A1371" t="str">
            <v>Eirik Larsen</v>
          </cell>
        </row>
        <row r="1372">
          <cell r="A1372" t="str">
            <v>Arvin Graff</v>
          </cell>
        </row>
        <row r="1373">
          <cell r="A1373" t="str">
            <v>Parco Au</v>
          </cell>
        </row>
        <row r="1374">
          <cell r="A1374" t="str">
            <v>Ferdinand Marnburg</v>
          </cell>
        </row>
        <row r="1375">
          <cell r="A1375" t="str">
            <v>Ian Fox</v>
          </cell>
        </row>
        <row r="1376">
          <cell r="A1376" t="str">
            <v>Joakim Aarseth</v>
          </cell>
        </row>
        <row r="1377">
          <cell r="A1377" t="str">
            <v>Stian Fuglaas</v>
          </cell>
        </row>
        <row r="1378">
          <cell r="A1378" t="str">
            <v>Ferdinand Marnburg</v>
          </cell>
        </row>
        <row r="1379">
          <cell r="A1379" t="str">
            <v>Baard Hübert</v>
          </cell>
        </row>
        <row r="1380">
          <cell r="A1380" t="str">
            <v>Parco Au</v>
          </cell>
        </row>
        <row r="1381">
          <cell r="A1381" t="str">
            <v>Joakim Aarseth</v>
          </cell>
        </row>
        <row r="1382">
          <cell r="A1382" t="str">
            <v>Parco Au</v>
          </cell>
        </row>
        <row r="1383">
          <cell r="A1383" t="str">
            <v>Giacomo Pesci</v>
          </cell>
        </row>
        <row r="1384">
          <cell r="A1384" t="str">
            <v>Roland Mork</v>
          </cell>
        </row>
        <row r="1385">
          <cell r="A1385" t="str">
            <v>Joakim Aarseth</v>
          </cell>
        </row>
        <row r="1386">
          <cell r="A1386" t="str">
            <v>Ferdinand Marnburg</v>
          </cell>
        </row>
        <row r="1387">
          <cell r="A1387" t="str">
            <v>Giacomo Pesci</v>
          </cell>
        </row>
        <row r="1388">
          <cell r="A1388" t="str">
            <v>Roland Mork</v>
          </cell>
        </row>
        <row r="1389">
          <cell r="A1389" t="str">
            <v>Giacomo Pesci</v>
          </cell>
        </row>
        <row r="1390">
          <cell r="A1390" t="str">
            <v>Fredrik Eiding</v>
          </cell>
        </row>
        <row r="1391">
          <cell r="A1391" t="str">
            <v>Anders Christie</v>
          </cell>
        </row>
        <row r="1392">
          <cell r="A1392" t="str">
            <v>Aleksander Vangsøy</v>
          </cell>
        </row>
        <row r="1393">
          <cell r="A1393" t="str">
            <v>Ferdinand Marnburg</v>
          </cell>
        </row>
        <row r="1394">
          <cell r="A1394" t="str">
            <v>Baard Hübert</v>
          </cell>
        </row>
        <row r="1395">
          <cell r="A1395" t="str">
            <v>Martin Lindboe</v>
          </cell>
        </row>
        <row r="1396">
          <cell r="A1396" t="str">
            <v>Parco Au</v>
          </cell>
        </row>
        <row r="1397">
          <cell r="A1397" t="str">
            <v>Anders Christie</v>
          </cell>
        </row>
        <row r="1398">
          <cell r="A1398" t="str">
            <v>Martin Lindboe</v>
          </cell>
        </row>
        <row r="1399">
          <cell r="A1399" t="str">
            <v>Mikael Gyhagen</v>
          </cell>
        </row>
        <row r="1400">
          <cell r="A1400" t="str">
            <v>Ferdinand Marnburg</v>
          </cell>
        </row>
        <row r="1401">
          <cell r="A1401" t="str">
            <v>Anders Søberg</v>
          </cell>
        </row>
        <row r="1402">
          <cell r="A1402" t="str">
            <v>Fredrik Eiding</v>
          </cell>
        </row>
        <row r="1403">
          <cell r="A1403" t="str">
            <v>Martin Lindboe</v>
          </cell>
        </row>
        <row r="1404">
          <cell r="A1404" t="str">
            <v>Jørgen Sørli</v>
          </cell>
        </row>
        <row r="1405">
          <cell r="A1405" t="str">
            <v>Mikael Gyhagen</v>
          </cell>
        </row>
        <row r="1406">
          <cell r="A1406" t="str">
            <v>Baard Hübert</v>
          </cell>
        </row>
        <row r="1407">
          <cell r="A1407" t="str">
            <v>Anders Christie</v>
          </cell>
        </row>
        <row r="1408">
          <cell r="A1408" t="str">
            <v>Stian Fuglaas</v>
          </cell>
        </row>
        <row r="1409">
          <cell r="A1409" t="str">
            <v>Tormod Lang</v>
          </cell>
        </row>
        <row r="1410">
          <cell r="A1410" t="str">
            <v>Mikael Gyhagen</v>
          </cell>
        </row>
        <row r="1411">
          <cell r="A1411" t="str">
            <v>Anders Christie</v>
          </cell>
        </row>
        <row r="1412">
          <cell r="A1412" t="str">
            <v>Ferdinand Marnburg</v>
          </cell>
        </row>
        <row r="1413">
          <cell r="A1413" t="str">
            <v>Anders Søberg</v>
          </cell>
        </row>
        <row r="1414">
          <cell r="A1414" t="str">
            <v>Stian Fuglaas</v>
          </cell>
        </row>
        <row r="1415">
          <cell r="A1415" t="str">
            <v>Petter Haukaas</v>
          </cell>
        </row>
        <row r="1416">
          <cell r="A1416" t="str">
            <v>Erling André Hervik</v>
          </cell>
        </row>
        <row r="1417">
          <cell r="A1417" t="str">
            <v>Tonny Albrigtsen</v>
          </cell>
        </row>
        <row r="1418">
          <cell r="A1418" t="str">
            <v>Mikael Gyhagen</v>
          </cell>
        </row>
        <row r="1419">
          <cell r="A1419" t="str">
            <v>Martin Lindboe</v>
          </cell>
        </row>
        <row r="1420">
          <cell r="A1420" t="str">
            <v>Anders Christie</v>
          </cell>
        </row>
        <row r="1421">
          <cell r="A1421" t="str">
            <v>Baard Hübert</v>
          </cell>
        </row>
        <row r="1422">
          <cell r="A1422" t="str">
            <v>Tormod Lang</v>
          </cell>
        </row>
        <row r="1423">
          <cell r="A1423" t="str">
            <v>Kenneth Pedersen</v>
          </cell>
        </row>
        <row r="1424">
          <cell r="A1424" t="str">
            <v>Mikael Gyhagen</v>
          </cell>
        </row>
        <row r="1425">
          <cell r="A1425" t="str">
            <v>Anders Christie</v>
          </cell>
        </row>
        <row r="1426">
          <cell r="A1426" t="str">
            <v>Tormod Lang</v>
          </cell>
        </row>
        <row r="1427">
          <cell r="A1427" t="str">
            <v>Kenneth Pedersen</v>
          </cell>
        </row>
        <row r="1428">
          <cell r="A1428" t="str">
            <v>Jørgen Sørli</v>
          </cell>
        </row>
        <row r="1429">
          <cell r="A1429" t="str">
            <v>Martin Lindboe</v>
          </cell>
        </row>
        <row r="1430">
          <cell r="A1430" t="str">
            <v>Baard Hübert</v>
          </cell>
        </row>
        <row r="1431">
          <cell r="A1431" t="str">
            <v>Anders Christie</v>
          </cell>
        </row>
        <row r="1432">
          <cell r="A1432" t="str">
            <v>Tormod Lang</v>
          </cell>
        </row>
        <row r="1433">
          <cell r="A1433" t="str">
            <v>Tonny Albrigtsen</v>
          </cell>
        </row>
        <row r="1434">
          <cell r="A1434" t="str">
            <v>Martin Lindboe</v>
          </cell>
        </row>
      </sheetData>
      <sheetData sheetId="8">
        <row r="5">
          <cell r="W5">
            <v>72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1BD39-6E2A-4FE4-9228-765343A203DB}" name="MasterName" displayName="MasterName" ref="A1:A64">
  <sortState xmlns:xlrd2="http://schemas.microsoft.com/office/spreadsheetml/2017/richdata2" ref="A2:A66">
    <sortCondition ref="A9:A66"/>
  </sortState>
  <tableColumns count="1">
    <tableColumn id="1" xr3:uid="{B8D33ED8-577C-41C4-81EC-E77A883DCF38}" name="Name"/>
  </tableColumns>
  <tableStyleInfo name="TableStyleLight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DD5858-B58D-4EF5-8061-7A204EEF5605}" name="MasterDeck" displayName="MasterDeck" ref="C1:F91">
  <sortState xmlns:xlrd2="http://schemas.microsoft.com/office/spreadsheetml/2017/richdata2" ref="C2:F91">
    <sortCondition ref="C83:C91"/>
  </sortState>
  <tableColumns count="4">
    <tableColumn id="1" xr3:uid="{25B3A415-571E-4A58-A655-ADF8A7656297}" name="Deck"/>
    <tableColumn id="2" xr3:uid="{224A0536-45F2-4E36-B443-9C4BC9E0178C}" name="Archetype" dataDxfId="2"/>
    <tableColumn id="3" xr3:uid="{266B68AF-C1CB-4288-8051-5CE4464A94C0}" name="Meta Archetype" dataDxfId="1"/>
    <tableColumn id="4" xr3:uid="{DE1FB624-46A4-4849-BF06-92357A48511C}" name="Brew" dataDxfId="0"/>
  </tableColumns>
  <tableStyleInfo name="TableStyleLight9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B8A94F-E3C5-4EEF-9168-8EE8183CA7D0}" name="Week_71" displayName="Week_71" ref="A1:P33">
  <autoFilter ref="A1:P33" xr:uid="{8FB36DE6-C9D2-4DFF-83DD-99122C86AEEC}"/>
  <sortState xmlns:xlrd2="http://schemas.microsoft.com/office/spreadsheetml/2017/richdata2" ref="A2:P33">
    <sortCondition descending="1" ref="C2:C33"/>
    <sortCondition descending="1" ref="K2:K33"/>
    <sortCondition descending="1" ref="L2:L33"/>
    <sortCondition descending="1" ref="M2:M33"/>
  </sortState>
  <tableColumns count="16">
    <tableColumn id="1" xr3:uid="{1CFEDE73-C587-443A-99C6-47E43548AE5A}" name="Player"/>
    <tableColumn id="2" xr3:uid="{905C67AC-D32B-432F-9A6B-C61920CC8EFE}" name="Deck"/>
    <tableColumn id="3" xr3:uid="{3A0CDD3A-F145-48CE-A014-6D4B3A7A44A6}" name="Points" dataDxfId="21">
      <calculatedColumnFormula>IF(ISBLANK(Week_71[[#This Row],[Player]]),-1,SUMIF(V:V,Week_71[[#This Row],[Player]],AA:AA)+SUMIF(W:W,Week_71[[#This Row],[Player]],AB:AB))</calculatedColumnFormula>
    </tableColumn>
    <tableColumn id="11" xr3:uid="{EA6CE81F-8261-4340-91BC-CE745F7BA3EC}" name="calcWin" dataDxfId="20">
      <calculatedColumnFormula array="1">_xlfn.IFS(Week_71[[#This Row],[Points]]=S$4+3,4,Week_71[[#This Row],[Points]]&gt;S$4,3,Week_71[[#This Row],[Points]]=S$4,2,Week_71[[#This Row],[Points]]&lt;S$4,"")</calculatedColumnFormula>
    </tableColumn>
    <tableColumn id="18" xr3:uid="{0330D6FC-E0CC-4F5E-86F0-705C0CEF375F}" name="Win" dataDxfId="19">
      <calculatedColumnFormula>IF(ISBLANK(Week_71[[#This Row],[Player]]),"",COUNTIFS(AA:AB,3,V:W,Week_71[[#This Row],[Player]]))</calculatedColumnFormula>
    </tableColumn>
    <tableColumn id="17" xr3:uid="{F22CC6CD-00B6-4072-A566-A3CE5A1487E5}" name="Loss" dataDxfId="18">
      <calculatedColumnFormula>IF(ISBLANK(Week_71[[#This Row],[Player]]),"",COUNTIFS(AA:AB,0,V:W,Week_71[[#This Row],[Player]]))</calculatedColumnFormula>
    </tableColumn>
    <tableColumn id="16" xr3:uid="{68348F20-9DFA-4F8C-9B72-B6F3628F85CD}" name="Draw" dataDxfId="17">
      <calculatedColumnFormula>IF(ISBLANK(Week_71[[#This Row],[Player]]),"",COUNTIFS(AA:AB,1,V:W,Week_71[[#This Row],[Player]]))</calculatedColumnFormula>
    </tableColumn>
    <tableColumn id="4" xr3:uid="{02617E8C-69CD-4B8D-AEAD-E850579EB6C9}" name="Byes" dataDxfId="16">
      <calculatedColumnFormula>IF(ISBLANK(Week_71[[#This Row],[Player]]),"",COUNTIFS(V:V,Week_71[[#This Row],[Player]],W:W,""))</calculatedColumnFormula>
    </tableColumn>
    <tableColumn id="20" xr3:uid="{0F6C2C02-C604-47DF-A050-A0B14107B6FC}" name="Rounds" dataDxfId="15">
      <calculatedColumnFormula>IF(ISBLANK(Week_71[[#This Row],[Player]]),"",COUNTIF(V:W,Week_71[[#This Row],[Player]]))</calculatedColumnFormula>
    </tableColumn>
    <tableColumn id="19" xr3:uid="{1C0B1401-834D-4EF8-98A0-DEB2BCE7B424}" name="W-L-D" dataDxfId="14">
      <calculatedColumnFormula>IF(ISBLANK(Week_71[[#This Row],[Player]]),"",Week_71[[#This Row],[Win]]&amp;"-"&amp;Week_71[[#This Row],[Loss]]&amp;"-"&amp;Week_71[[#This Row],[Draw]])</calculatedColumnFormula>
    </tableColumn>
    <tableColumn id="10" xr3:uid="{C3B8B76D-2B13-4C53-B451-26332DF236C9}" name="OMW%" dataDxfId="13">
      <calculatedColumnFormula array="1">IF(ISBLANK(Week_71[[#This Row],[Player]]),"",(AVERAGE(_xlfn.XLOOKUP(_xlfn.VSTACK(_xlfn._xlws.FILTER(W:W,V:V=Week_71[[#This Row],[Player]],""),_xlfn._xlws.FILTER(V:V,W:W=Week_71[[#This Row],[Player]],"")), Week_71[Player], Week_71[MW%], ""))))</calculatedColumnFormula>
    </tableColumn>
    <tableColumn id="6" xr3:uid="{E98C8274-7617-4B27-9C1C-E9B2D04670BA}" name="GW%" dataDxfId="12">
      <calculatedColumnFormula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calculatedColumnFormula>
    </tableColumn>
    <tableColumn id="7" xr3:uid="{2464C4D0-8E19-45F8-A454-6C0438FFEF4A}" name="OGW%" dataDxfId="11">
      <calculatedColumnFormula array="1">IF(ISBLANK(Week_71[[#This Row],[Player]]),"",(AVERAGE(_xlfn.XLOOKUP(_xlfn.VSTACK(_xlfn._xlws.FILTER(W:W,V:V=Week_71[[#This Row],[Player]],""),_xlfn._xlws.FILTER(V:V,W:W=Week_71[[#This Row],[Player]],"")), Week_71[Player], Week_71[GW%], ""))))</calculatedColumnFormula>
    </tableColumn>
    <tableColumn id="12" xr3:uid="{3F0F366B-7539-4B71-9881-31403C37431B}" name="MW%" dataDxfId="10">
      <calculatedColumnFormula>IF(ISBLANK(Week_71[[#This Row],[Player]]),"",MAX((1/3),IFERROR(Week_71[[#This Row],[Points]]/(Week_71[[#This Row],[Rounds]]*3),"")))</calculatedColumnFormula>
    </tableColumn>
    <tableColumn id="8" xr3:uid="{7004058B-6125-41EB-B105-B16B4C252433}" name="OMF Bonus" dataDxfId="9"/>
    <tableColumn id="5" xr3:uid="{626679CA-4410-46B4-B693-A6315C511469}" name="Payout" dataDxfId="8">
      <calculatedColumnFormula>IF(Week_71[[#This Row],[Points]]&gt;=S$4,S$5*Week_71[[#This Row],[calcWin]]/SUM(Week_71[calcWin])+Week_71[[#This Row],[OMF Bonus]],IF(Week_71[[#This Row],[OMF Bonus]]&gt;0,Week_71[[#This Row],[OMF Bonus]],""))</calculatedColumnFormula>
    </tableColumn>
  </tableColumns>
  <tableStyleInfo name="TableStyleMedium6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501C71-8BF6-48B1-BEDD-66E61AF2E78C}" name="Week_71Games" displayName="Week_71Games" ref="U1:AD68" totalsRowShown="0" tableBorderDxfId="7">
  <tableColumns count="10">
    <tableColumn id="1" xr3:uid="{97E1C053-2B4C-4332-9EEE-337D9246A580}" name="Round 1">
      <calculatedColumnFormula array="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calculatedColumnFormula>
    </tableColumn>
    <tableColumn id="2" xr3:uid="{81F44A68-7AD9-4E2D-9B79-57BD238537E6}" name="Player 1"/>
    <tableColumn id="3" xr3:uid="{CDA3F044-41E0-4681-8865-EA7A9A2BEFF7}" name="Player 2"/>
    <tableColumn id="4" xr3:uid="{DEC13362-1A85-4C36-BE04-0EE783814592}" name="P1-Wins"/>
    <tableColumn id="5" xr3:uid="{E1B9FDD8-6F3E-45D5-AAF2-2412E60B6091}" name="P2-Wins"/>
    <tableColumn id="8" xr3:uid="{4F4557D8-ACCC-47CB-96A3-BFF945D2A620}" name="Draws"/>
    <tableColumn id="6" xr3:uid="{0BCB0578-0552-402A-8445-B20F4A4169B5}" name="P1-Points">
      <calculatedColumnFormula array="1">IF(AND(V2&lt;&gt;"",W2=""),3,_xlfn.IFS(AND(X2="",Y2=""),"",X2&gt;Y2,3,X2&lt;Y2,0,X2=Y2,1))</calculatedColumnFormula>
    </tableColumn>
    <tableColumn id="7" xr3:uid="{370060AF-DFF1-4A06-9E38-D8DC6A5A9D11}" name="P2-Points" dataDxfId="6">
      <calculatedColumnFormula>IF(W2="", "", IF(X2=Y2, 1, IF(X2&lt;Y2, 3, IF(X2&gt;Y2, 0, ""))))</calculatedColumnFormula>
    </tableColumn>
    <tableColumn id="9" xr3:uid="{D5A34D21-41AF-497E-94EB-D12598A6ECDB}" name="p1 deck" dataDxfId="5">
      <calculatedColumnFormula>IF(Week_71Games[[#This Row],[Player 2]]="","",_xlfn.XLOOKUP(Week_71Games[[#This Row],[Player 1]],Week_71[Player],Week_71[Deck]))</calculatedColumnFormula>
    </tableColumn>
    <tableColumn id="10" xr3:uid="{73853249-3393-4369-976E-A31088CD5388}" name="p2 deck" dataDxfId="4">
      <calculatedColumnFormula>IF(Week_71Games[[#This Row],[Player 2]]="","",_xlfn.XLOOKUP(Week_71Games[[#This Row],[Player 2]],Week_71[Player],Week_71[Deck]))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64FD55-0584-4832-9765-F283AA867278}" name="Week_72" displayName="Week_72" ref="A1:P33">
  <autoFilter ref="A1:P33" xr:uid="{8FB36DE6-C9D2-4DFF-83DD-99122C86AEEC}"/>
  <sortState xmlns:xlrd2="http://schemas.microsoft.com/office/spreadsheetml/2017/richdata2" ref="A2:P33">
    <sortCondition descending="1" ref="C2:C33"/>
    <sortCondition descending="1" ref="K2:K33"/>
    <sortCondition descending="1" ref="L2:L33"/>
    <sortCondition descending="1" ref="M2:M33"/>
  </sortState>
  <tableColumns count="16">
    <tableColumn id="1" xr3:uid="{520A0EE0-BE35-49C9-8EB8-A1450B3C5CE4}" name="Player"/>
    <tableColumn id="2" xr3:uid="{DC20D481-61D1-454B-B0CB-8C38B42EB8B6}" name="Deck"/>
    <tableColumn id="3" xr3:uid="{AE75BCCF-04FF-4B28-82C5-1839E255E98D}" name="Points" dataDxfId="40">
      <calculatedColumnFormula>IF(ISBLANK(Week_72[[#This Row],[Player]]),-1,SUMIF(V:V,Week_72[[#This Row],[Player]],AA:AA)+SUMIF(W:W,Week_72[[#This Row],[Player]],AB:AB))</calculatedColumnFormula>
    </tableColumn>
    <tableColumn id="11" xr3:uid="{562F26CB-B167-4632-B1AA-B12B5B072B00}" name="calcWin" dataDxfId="39">
      <calculatedColumnFormula array="1">_xlfn.IFS(Week_72[[#This Row],[Points]]=S$4+3,4,Week_72[[#This Row],[Points]]&gt;S$4,3,Week_72[[#This Row],[Points]]=S$4,2,Week_72[[#This Row],[Points]]&lt;S$4,"")</calculatedColumnFormula>
    </tableColumn>
    <tableColumn id="18" xr3:uid="{34409850-17D6-405D-8D40-569C00FF48EB}" name="Win" dataDxfId="38">
      <calculatedColumnFormula>IF(ISBLANK(Week_72[[#This Row],[Player]]),"",COUNTIFS(AA:AB,3,V:W,Week_72[[#This Row],[Player]]))</calculatedColumnFormula>
    </tableColumn>
    <tableColumn id="17" xr3:uid="{41A87C04-0F2E-49EE-82F0-4C1FBFF04866}" name="Loss" dataDxfId="37">
      <calculatedColumnFormula>IF(ISBLANK(Week_72[[#This Row],[Player]]),"",COUNTIFS(AA:AB,0,V:W,Week_72[[#This Row],[Player]]))</calculatedColumnFormula>
    </tableColumn>
    <tableColumn id="16" xr3:uid="{6AFE4C62-846A-4C15-A7C2-EDC9DEB1EBE3}" name="Draw" dataDxfId="36">
      <calculatedColumnFormula>IF(ISBLANK(Week_72[[#This Row],[Player]]),"",COUNTIFS(AA:AB,1,V:W,Week_72[[#This Row],[Player]]))</calculatedColumnFormula>
    </tableColumn>
    <tableColumn id="4" xr3:uid="{68C23CFE-D9F2-42F3-8273-7021B7DE6CAB}" name="Byes" dataDxfId="35">
      <calculatedColumnFormula>IF(ISBLANK(Week_72[[#This Row],[Player]]),"",COUNTIFS(V:V,Week_72[[#This Row],[Player]],W:W,""))</calculatedColumnFormula>
    </tableColumn>
    <tableColumn id="20" xr3:uid="{DE796754-65DF-4EF8-9EA7-AB07B4075569}" name="Rounds" dataDxfId="34">
      <calculatedColumnFormula>IF(ISBLANK(Week_72[[#This Row],[Player]]),"",COUNTIF(V:W,Week_72[[#This Row],[Player]]))</calculatedColumnFormula>
    </tableColumn>
    <tableColumn id="19" xr3:uid="{365ECE2C-E56F-4E8C-8FB9-C18F6FA7E957}" name="W-L-D" dataDxfId="33">
      <calculatedColumnFormula>IF(ISBLANK(Week_72[[#This Row],[Player]]),"",Week_72[[#This Row],[Win]]&amp;"-"&amp;Week_72[[#This Row],[Loss]]&amp;"-"&amp;Week_72[[#This Row],[Draw]])</calculatedColumnFormula>
    </tableColumn>
    <tableColumn id="10" xr3:uid="{F24DC72D-AB21-43A7-9F93-A5646AECBD3C}" name="OMW%" dataDxfId="32">
      <calculatedColumnFormula array="1">IF(ISBLANK(Week_72[[#This Row],[Player]]),"",(AVERAGE(_xlfn.XLOOKUP(_xlfn.VSTACK(_xlfn._xlws.FILTER(W:W,V:V=Week_72[[#This Row],[Player]],""),_xlfn._xlws.FILTER(V:V,W:W=Week_72[[#This Row],[Player]],"")), Week_72[Player], Week_72[MW%], ""))))</calculatedColumnFormula>
    </tableColumn>
    <tableColumn id="6" xr3:uid="{39E8164E-FB57-4C9E-839D-F4BD9EF7B092}" name="GW%" dataDxfId="31">
      <calculatedColumnFormula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calculatedColumnFormula>
    </tableColumn>
    <tableColumn id="7" xr3:uid="{0DB95EF4-1C1C-412C-B45B-BDE018C900AD}" name="OGW%" dataDxfId="30">
      <calculatedColumnFormula array="1">IF(ISBLANK(Week_72[[#This Row],[Player]]),"",(AVERAGE(_xlfn.XLOOKUP(_xlfn.VSTACK(_xlfn._xlws.FILTER(W:W,V:V=Week_72[[#This Row],[Player]],""),_xlfn._xlws.FILTER(V:V,W:W=Week_72[[#This Row],[Player]],"")), Week_72[Player], Week_72[GW%], ""))))</calculatedColumnFormula>
    </tableColumn>
    <tableColumn id="12" xr3:uid="{ABFB86F0-9F99-44C5-8848-79997EB5513C}" name="MW%" dataDxfId="29">
      <calculatedColumnFormula>IF(ISBLANK(Week_72[[#This Row],[Player]]),"",MAX((1/3),IFERROR(Week_72[[#This Row],[Points]]/(Week_72[[#This Row],[Rounds]]*3),"")))</calculatedColumnFormula>
    </tableColumn>
    <tableColumn id="8" xr3:uid="{9C96AD7B-D840-4196-9841-C8469E295486}" name="OMF Bonus" dataDxfId="28"/>
    <tableColumn id="5" xr3:uid="{93434811-43B0-4A13-B25F-0422EDB76EC5}" name="Payout" dataDxfId="27">
      <calculatedColumnFormula>IF(Week_72[[#This Row],[Points]]&gt;=S$4,S$5*Week_72[[#This Row],[calcWin]]/SUM(Week_72[calcWin])+Week_72[[#This Row],[OMF Bonus]],IF(Week_72[[#This Row],[OMF Bonus]]&gt;0,Week_72[[#This Row],[OMF Bonus]],""))</calculatedColumnFormula>
    </tableColumn>
  </tableColumns>
  <tableStyleInfo name="TableStyleMedium6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8E9CC-01B8-4ED7-B66A-B44289D6F94A}" name="Week_72Games" displayName="Week_72Games" ref="U1:AD68" totalsRowShown="0" tableBorderDxfId="26">
  <tableColumns count="10">
    <tableColumn id="1" xr3:uid="{64934871-5547-4FD4-8219-B10030096139}" name="Round 1">
      <calculatedColumnFormula array="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calculatedColumnFormula>
    </tableColumn>
    <tableColumn id="2" xr3:uid="{5A722630-DC9A-4F83-B1D4-BDB0F7A04B3E}" name="Player 1"/>
    <tableColumn id="3" xr3:uid="{14674984-40BB-4715-A3C3-32C60655646B}" name="Player 2"/>
    <tableColumn id="4" xr3:uid="{35040BDF-19CE-4911-B620-1C0D8299828E}" name="P1-Wins"/>
    <tableColumn id="5" xr3:uid="{D6D79EBF-2C7F-41D7-B6FC-1E43E9E4A031}" name="P2-Wins"/>
    <tableColumn id="8" xr3:uid="{7B3DCC64-E41D-4E39-BD55-69B94A597AB3}" name="Draws"/>
    <tableColumn id="6" xr3:uid="{DAF82036-7F41-4902-9CD3-578C538F97F6}" name="P1-Points">
      <calculatedColumnFormula array="1">IF(AND(V2&lt;&gt;"",W2=""),3,_xlfn.IFS(AND(X2="",Y2=""),"",X2&gt;Y2,3,X2&lt;Y2,0,X2=Y2,1))</calculatedColumnFormula>
    </tableColumn>
    <tableColumn id="7" xr3:uid="{719A8CA1-E546-452D-869E-4EE7E3245DA2}" name="P2-Points" dataDxfId="25">
      <calculatedColumnFormula>IF(W2="", "", IF(X2=Y2, 1, IF(X2&lt;Y2, 3, IF(X2&gt;Y2, 0, ""))))</calculatedColumnFormula>
    </tableColumn>
    <tableColumn id="9" xr3:uid="{2C9F9362-28FF-42E5-AB7B-93EFBBDE17C8}" name="p1 deck" dataDxfId="24">
      <calculatedColumnFormula>IF(Week_72Games[[#This Row],[Player 2]]="","",_xlfn.XLOOKUP(Week_72Games[[#This Row],[Player 1]],Week_72[Player],Week_72[Deck]))</calculatedColumnFormula>
    </tableColumn>
    <tableColumn id="10" xr3:uid="{BE54D916-F336-4201-830C-E51EF93A5568}" name="p2 deck" dataDxfId="23">
      <calculatedColumnFormula>IF(Week_72Games[[#This Row],[Player 2]]="","",_xlfn.XLOOKUP(Week_72Games[[#This Row],[Player 2]],Week_72[Player],Week_72[Deck]))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CD8C-7F11-40EF-A8F3-79416D890C39}">
  <sheetPr>
    <tabColor rgb="FFFF8F8F"/>
  </sheetPr>
  <dimension ref="A1:O99"/>
  <sheetViews>
    <sheetView tabSelected="1" zoomScaleNormal="100" workbookViewId="0">
      <selection activeCell="I20" sqref="I20"/>
    </sheetView>
  </sheetViews>
  <sheetFormatPr defaultColWidth="14.44140625" defaultRowHeight="15" customHeight="1" x14ac:dyDescent="0.3"/>
  <cols>
    <col min="1" max="1" width="21.6640625" bestFit="1" customWidth="1"/>
    <col min="2" max="2" width="8.6640625" customWidth="1"/>
    <col min="3" max="3" width="24.33203125" bestFit="1" customWidth="1"/>
    <col min="4" max="5" width="21" customWidth="1"/>
    <col min="6" max="6" width="9.44140625" customWidth="1"/>
    <col min="7" max="7" width="8.6640625" customWidth="1"/>
    <col min="8" max="8" width="22.88671875" style="28" bestFit="1" customWidth="1"/>
    <col min="9" max="9" width="30.44140625" bestFit="1" customWidth="1"/>
    <col min="10" max="10" width="15.33203125" customWidth="1"/>
    <col min="11" max="11" width="25.6640625" bestFit="1" customWidth="1"/>
    <col min="12" max="12" width="14.44140625" bestFit="1" customWidth="1"/>
    <col min="13" max="31" width="8.6640625" customWidth="1"/>
  </cols>
  <sheetData>
    <row r="1" spans="1:12" ht="14.4" x14ac:dyDescent="0.3">
      <c r="A1" t="s">
        <v>67</v>
      </c>
      <c r="C1" s="1" t="s">
        <v>1</v>
      </c>
      <c r="D1" s="1" t="s">
        <v>68</v>
      </c>
      <c r="E1" s="1" t="s">
        <v>69</v>
      </c>
      <c r="F1" s="1" t="s">
        <v>70</v>
      </c>
      <c r="H1" s="26" t="s">
        <v>71</v>
      </c>
    </row>
    <row r="2" spans="1:12" ht="14.4" x14ac:dyDescent="0.3">
      <c r="A2" t="s">
        <v>60</v>
      </c>
      <c r="C2" s="1" t="s">
        <v>66</v>
      </c>
      <c r="D2" s="1" t="s">
        <v>72</v>
      </c>
      <c r="E2" s="1" t="s">
        <v>73</v>
      </c>
      <c r="F2" s="1">
        <v>0</v>
      </c>
      <c r="H2" s="26" t="s">
        <v>74</v>
      </c>
      <c r="I2">
        <v>4</v>
      </c>
      <c r="K2" t="s">
        <v>75</v>
      </c>
      <c r="L2">
        <v>100</v>
      </c>
    </row>
    <row r="3" spans="1:12" ht="14.4" x14ac:dyDescent="0.3">
      <c r="A3" t="s">
        <v>43</v>
      </c>
      <c r="C3" t="s">
        <v>76</v>
      </c>
      <c r="D3" s="1"/>
      <c r="E3" s="1" t="s">
        <v>77</v>
      </c>
      <c r="F3" s="1"/>
      <c r="H3" s="26" t="s">
        <v>78</v>
      </c>
      <c r="I3">
        <v>5</v>
      </c>
      <c r="K3" t="s">
        <v>79</v>
      </c>
      <c r="L3" s="27">
        <v>1.05</v>
      </c>
    </row>
    <row r="4" spans="1:12" ht="14.4" x14ac:dyDescent="0.3">
      <c r="A4" t="s">
        <v>63</v>
      </c>
      <c r="C4" t="s">
        <v>80</v>
      </c>
      <c r="D4" s="1" t="s">
        <v>81</v>
      </c>
      <c r="E4" s="1" t="s">
        <v>77</v>
      </c>
      <c r="F4" s="1">
        <v>0</v>
      </c>
      <c r="K4" t="s">
        <v>82</v>
      </c>
      <c r="L4" s="27">
        <v>0</v>
      </c>
    </row>
    <row r="5" spans="1:12" ht="14.4" x14ac:dyDescent="0.3">
      <c r="A5" t="s">
        <v>83</v>
      </c>
      <c r="C5" s="1" t="s">
        <v>84</v>
      </c>
      <c r="D5" s="1" t="s">
        <v>85</v>
      </c>
      <c r="E5" s="1" t="s">
        <v>86</v>
      </c>
      <c r="F5" s="1">
        <v>0</v>
      </c>
      <c r="H5" s="26" t="s">
        <v>87</v>
      </c>
    </row>
    <row r="6" spans="1:12" ht="14.4" x14ac:dyDescent="0.3">
      <c r="A6" t="s">
        <v>88</v>
      </c>
      <c r="C6" s="1" t="s">
        <v>89</v>
      </c>
      <c r="D6" s="1" t="s">
        <v>90</v>
      </c>
      <c r="E6" s="1" t="s">
        <v>86</v>
      </c>
      <c r="F6" s="1">
        <v>0</v>
      </c>
      <c r="H6" s="26" t="s">
        <v>91</v>
      </c>
      <c r="I6" s="1" t="s">
        <v>2</v>
      </c>
    </row>
    <row r="7" spans="1:12" ht="14.4" x14ac:dyDescent="0.3">
      <c r="A7" t="s">
        <v>92</v>
      </c>
      <c r="C7" s="1" t="s">
        <v>93</v>
      </c>
      <c r="D7" s="1" t="s">
        <v>94</v>
      </c>
      <c r="E7" s="1" t="s">
        <v>86</v>
      </c>
      <c r="F7" s="1">
        <v>1</v>
      </c>
      <c r="H7" s="26" t="s">
        <v>95</v>
      </c>
      <c r="I7">
        <v>3</v>
      </c>
      <c r="K7" t="s">
        <v>96</v>
      </c>
      <c r="L7" s="29">
        <f>SUM([1]PlayerStats!L5:L100)</f>
        <v>77155</v>
      </c>
    </row>
    <row r="8" spans="1:12" ht="14.4" x14ac:dyDescent="0.3">
      <c r="A8" t="s">
        <v>97</v>
      </c>
      <c r="C8" t="s">
        <v>98</v>
      </c>
      <c r="D8" s="1" t="s">
        <v>99</v>
      </c>
      <c r="E8" s="1" t="s">
        <v>77</v>
      </c>
      <c r="F8" s="1">
        <v>1</v>
      </c>
      <c r="H8" s="26" t="s">
        <v>100</v>
      </c>
      <c r="I8">
        <v>1</v>
      </c>
      <c r="L8" s="29"/>
    </row>
    <row r="9" spans="1:12" ht="14.4" x14ac:dyDescent="0.3">
      <c r="A9" t="s">
        <v>101</v>
      </c>
      <c r="C9" t="s">
        <v>102</v>
      </c>
      <c r="D9" s="1" t="s">
        <v>94</v>
      </c>
      <c r="E9" s="1" t="s">
        <v>86</v>
      </c>
      <c r="F9" s="1">
        <v>1</v>
      </c>
      <c r="H9" s="26" t="s">
        <v>103</v>
      </c>
      <c r="I9">
        <v>1.5</v>
      </c>
    </row>
    <row r="10" spans="1:12" ht="14.4" x14ac:dyDescent="0.3">
      <c r="A10" t="s">
        <v>32</v>
      </c>
      <c r="C10" s="1" t="s">
        <v>59</v>
      </c>
      <c r="D10" s="1" t="s">
        <v>72</v>
      </c>
      <c r="E10" s="1" t="s">
        <v>73</v>
      </c>
      <c r="F10" s="1">
        <v>0</v>
      </c>
      <c r="H10" s="26" t="s">
        <v>104</v>
      </c>
      <c r="I10">
        <v>2</v>
      </c>
    </row>
    <row r="11" spans="1:12" ht="14.4" x14ac:dyDescent="0.3">
      <c r="A11" t="s">
        <v>105</v>
      </c>
      <c r="C11" s="1" t="s">
        <v>106</v>
      </c>
      <c r="D11" s="1" t="s">
        <v>107</v>
      </c>
      <c r="E11" s="1" t="s">
        <v>108</v>
      </c>
      <c r="F11" s="1">
        <v>0</v>
      </c>
    </row>
    <row r="12" spans="1:12" ht="14.4" x14ac:dyDescent="0.3">
      <c r="A12" t="s">
        <v>109</v>
      </c>
      <c r="C12" t="s">
        <v>110</v>
      </c>
      <c r="D12" s="1" t="s">
        <v>110</v>
      </c>
      <c r="E12" s="1" t="s">
        <v>111</v>
      </c>
      <c r="F12" s="1">
        <v>0</v>
      </c>
    </row>
    <row r="13" spans="1:12" ht="14.4" x14ac:dyDescent="0.3">
      <c r="A13" t="s">
        <v>112</v>
      </c>
      <c r="C13" s="1" t="s">
        <v>113</v>
      </c>
      <c r="D13" s="1" t="s">
        <v>85</v>
      </c>
      <c r="E13" s="1" t="s">
        <v>86</v>
      </c>
      <c r="F13" s="1">
        <v>0</v>
      </c>
      <c r="H13" s="28" t="s">
        <v>114</v>
      </c>
      <c r="I13">
        <v>2500</v>
      </c>
    </row>
    <row r="14" spans="1:12" ht="15" customHeight="1" x14ac:dyDescent="0.3">
      <c r="A14" t="s">
        <v>115</v>
      </c>
      <c r="C14" s="1" t="s">
        <v>54</v>
      </c>
      <c r="D14" s="1"/>
      <c r="E14" s="1" t="s">
        <v>86</v>
      </c>
      <c r="F14" s="1">
        <v>0</v>
      </c>
      <c r="H14" s="28" t="s">
        <v>116</v>
      </c>
      <c r="I14">
        <f>COUNTA([1]AllGamesList!A:A)</f>
        <v>1434</v>
      </c>
    </row>
    <row r="15" spans="1:12" ht="15" customHeight="1" x14ac:dyDescent="0.3">
      <c r="A15" t="s">
        <v>117</v>
      </c>
      <c r="C15" t="s">
        <v>118</v>
      </c>
      <c r="D15" s="1"/>
      <c r="E15" s="1" t="s">
        <v>119</v>
      </c>
      <c r="F15" s="1">
        <v>1</v>
      </c>
      <c r="I15" t="str">
        <f>IF(I14&gt;I13,"WARNING INCREASE MAX GAMES","It's fine")</f>
        <v>It's fine</v>
      </c>
    </row>
    <row r="16" spans="1:12" ht="15" customHeight="1" x14ac:dyDescent="0.3">
      <c r="A16" t="s">
        <v>120</v>
      </c>
      <c r="C16" t="s">
        <v>121</v>
      </c>
      <c r="D16" s="1"/>
      <c r="E16" s="1" t="s">
        <v>73</v>
      </c>
      <c r="F16" s="1">
        <v>0</v>
      </c>
    </row>
    <row r="17" spans="1:11" ht="15" customHeight="1" x14ac:dyDescent="0.3">
      <c r="A17" s="30" t="s">
        <v>122</v>
      </c>
      <c r="C17" t="s">
        <v>44</v>
      </c>
      <c r="D17" s="1"/>
      <c r="E17" s="1" t="s">
        <v>73</v>
      </c>
      <c r="F17" s="1">
        <v>0</v>
      </c>
    </row>
    <row r="18" spans="1:11" ht="15" customHeight="1" x14ac:dyDescent="0.3">
      <c r="A18" t="s">
        <v>123</v>
      </c>
      <c r="C18" t="s">
        <v>124</v>
      </c>
      <c r="D18" s="1" t="s">
        <v>108</v>
      </c>
      <c r="E18" s="1" t="s">
        <v>108</v>
      </c>
      <c r="F18" s="1">
        <v>0</v>
      </c>
      <c r="H18" s="28" t="s">
        <v>125</v>
      </c>
      <c r="I18">
        <v>100</v>
      </c>
      <c r="K18" t="s">
        <v>126</v>
      </c>
    </row>
    <row r="19" spans="1:11" ht="15" customHeight="1" x14ac:dyDescent="0.3">
      <c r="A19" t="s">
        <v>127</v>
      </c>
      <c r="C19" s="1" t="s">
        <v>128</v>
      </c>
      <c r="D19" s="1"/>
      <c r="E19" s="1" t="s">
        <v>86</v>
      </c>
      <c r="F19" s="1">
        <v>1</v>
      </c>
      <c r="H19" s="26" t="s">
        <v>129</v>
      </c>
      <c r="I19">
        <f>TournamentsRecorded</f>
        <v>72</v>
      </c>
    </row>
    <row r="20" spans="1:11" ht="15" customHeight="1" x14ac:dyDescent="0.3">
      <c r="A20" t="s">
        <v>27</v>
      </c>
      <c r="C20" t="s">
        <v>65</v>
      </c>
      <c r="D20" s="1" t="s">
        <v>130</v>
      </c>
      <c r="E20" s="1" t="s">
        <v>86</v>
      </c>
      <c r="F20" s="1">
        <v>0</v>
      </c>
    </row>
    <row r="21" spans="1:11" ht="15.75" customHeight="1" x14ac:dyDescent="0.3">
      <c r="A21" t="s">
        <v>62</v>
      </c>
      <c r="C21" t="s">
        <v>131</v>
      </c>
      <c r="D21" s="1"/>
      <c r="E21" s="1" t="s">
        <v>108</v>
      </c>
      <c r="F21" s="1">
        <v>0</v>
      </c>
    </row>
    <row r="22" spans="1:11" ht="15.75" customHeight="1" x14ac:dyDescent="0.3">
      <c r="A22" t="s">
        <v>58</v>
      </c>
      <c r="C22" t="s">
        <v>132</v>
      </c>
      <c r="D22" s="1"/>
      <c r="E22" s="1" t="s">
        <v>86</v>
      </c>
      <c r="F22" s="1">
        <v>0</v>
      </c>
    </row>
    <row r="23" spans="1:11" ht="15.75" customHeight="1" x14ac:dyDescent="0.3">
      <c r="A23" t="s">
        <v>133</v>
      </c>
      <c r="C23" t="s">
        <v>134</v>
      </c>
      <c r="D23" s="1"/>
      <c r="E23" s="1" t="s">
        <v>99</v>
      </c>
      <c r="F23" s="1">
        <v>0</v>
      </c>
    </row>
    <row r="24" spans="1:11" ht="15.75" customHeight="1" x14ac:dyDescent="0.3">
      <c r="A24" t="s">
        <v>31</v>
      </c>
      <c r="C24" t="s">
        <v>50</v>
      </c>
      <c r="D24" s="1" t="s">
        <v>85</v>
      </c>
      <c r="E24" s="1" t="s">
        <v>86</v>
      </c>
      <c r="F24" s="1">
        <v>0</v>
      </c>
    </row>
    <row r="25" spans="1:11" ht="15.75" customHeight="1" x14ac:dyDescent="0.3">
      <c r="A25" t="s">
        <v>135</v>
      </c>
      <c r="C25" t="s">
        <v>136</v>
      </c>
      <c r="D25" s="1" t="s">
        <v>73</v>
      </c>
      <c r="E25" s="1" t="s">
        <v>73</v>
      </c>
      <c r="F25" s="1">
        <v>1</v>
      </c>
    </row>
    <row r="26" spans="1:11" ht="15.75" customHeight="1" x14ac:dyDescent="0.3">
      <c r="A26" t="s">
        <v>137</v>
      </c>
      <c r="C26" t="s">
        <v>138</v>
      </c>
      <c r="D26" s="1"/>
      <c r="E26" s="1" t="s">
        <v>108</v>
      </c>
      <c r="F26" s="1">
        <v>1</v>
      </c>
    </row>
    <row r="27" spans="1:11" ht="15.75" customHeight="1" x14ac:dyDescent="0.3">
      <c r="A27" t="s">
        <v>139</v>
      </c>
      <c r="C27" t="s">
        <v>140</v>
      </c>
      <c r="D27" s="1"/>
      <c r="E27" s="1" t="s">
        <v>86</v>
      </c>
      <c r="F27" s="1">
        <v>0</v>
      </c>
    </row>
    <row r="28" spans="1:11" ht="15.75" customHeight="1" x14ac:dyDescent="0.3">
      <c r="A28" t="s">
        <v>141</v>
      </c>
      <c r="C28" t="s">
        <v>142</v>
      </c>
      <c r="D28" s="1"/>
      <c r="E28" s="1" t="s">
        <v>111</v>
      </c>
      <c r="F28" s="1">
        <v>0</v>
      </c>
    </row>
    <row r="29" spans="1:11" ht="15.75" customHeight="1" x14ac:dyDescent="0.3">
      <c r="A29" t="s">
        <v>143</v>
      </c>
      <c r="C29" t="s">
        <v>144</v>
      </c>
      <c r="D29" s="1" t="s">
        <v>86</v>
      </c>
      <c r="E29" s="1"/>
      <c r="F29" s="1">
        <v>0</v>
      </c>
    </row>
    <row r="30" spans="1:11" ht="15.75" customHeight="1" x14ac:dyDescent="0.3">
      <c r="A30" t="s">
        <v>145</v>
      </c>
      <c r="C30" t="s">
        <v>146</v>
      </c>
      <c r="D30" s="1" t="s">
        <v>72</v>
      </c>
      <c r="E30" s="1" t="s">
        <v>73</v>
      </c>
      <c r="F30" s="1">
        <v>0</v>
      </c>
    </row>
    <row r="31" spans="1:11" ht="15.75" customHeight="1" x14ac:dyDescent="0.3">
      <c r="A31" t="s">
        <v>147</v>
      </c>
      <c r="C31" t="s">
        <v>148</v>
      </c>
      <c r="D31" s="1"/>
      <c r="E31" s="1" t="s">
        <v>73</v>
      </c>
      <c r="F31" s="1">
        <v>1</v>
      </c>
    </row>
    <row r="32" spans="1:11" ht="15.75" customHeight="1" x14ac:dyDescent="0.3">
      <c r="A32" t="s">
        <v>149</v>
      </c>
      <c r="C32" t="s">
        <v>57</v>
      </c>
      <c r="D32" s="1"/>
      <c r="E32" s="1" t="s">
        <v>108</v>
      </c>
      <c r="F32" s="1">
        <v>1</v>
      </c>
    </row>
    <row r="33" spans="1:6" ht="15.75" customHeight="1" x14ac:dyDescent="0.3">
      <c r="A33" t="s">
        <v>35</v>
      </c>
      <c r="C33" t="s">
        <v>40</v>
      </c>
      <c r="D33" s="1"/>
      <c r="E33" s="1" t="s">
        <v>108</v>
      </c>
      <c r="F33" s="1">
        <v>0</v>
      </c>
    </row>
    <row r="34" spans="1:6" ht="15.75" customHeight="1" x14ac:dyDescent="0.3">
      <c r="A34" t="s">
        <v>47</v>
      </c>
      <c r="C34" t="s">
        <v>150</v>
      </c>
      <c r="D34" s="1"/>
      <c r="E34" s="1" t="s">
        <v>111</v>
      </c>
      <c r="F34" s="1">
        <v>1</v>
      </c>
    </row>
    <row r="35" spans="1:6" ht="15.75" customHeight="1" x14ac:dyDescent="0.3">
      <c r="A35" t="s">
        <v>151</v>
      </c>
      <c r="C35" t="s">
        <v>152</v>
      </c>
      <c r="D35" s="1"/>
      <c r="E35" s="1"/>
      <c r="F35" s="1"/>
    </row>
    <row r="36" spans="1:6" ht="15.75" customHeight="1" x14ac:dyDescent="0.3">
      <c r="A36" s="31" t="s">
        <v>153</v>
      </c>
      <c r="C36" s="1" t="s">
        <v>154</v>
      </c>
      <c r="D36" s="1"/>
      <c r="E36" s="1" t="s">
        <v>86</v>
      </c>
      <c r="F36" s="1">
        <v>0</v>
      </c>
    </row>
    <row r="37" spans="1:6" ht="15.75" customHeight="1" x14ac:dyDescent="0.3">
      <c r="A37" t="s">
        <v>155</v>
      </c>
      <c r="C37" t="s">
        <v>156</v>
      </c>
      <c r="D37" s="1"/>
      <c r="E37" s="1" t="s">
        <v>86</v>
      </c>
      <c r="F37" s="1">
        <v>0</v>
      </c>
    </row>
    <row r="38" spans="1:6" ht="15.75" customHeight="1" x14ac:dyDescent="0.3">
      <c r="A38" t="s">
        <v>157</v>
      </c>
      <c r="C38" t="s">
        <v>158</v>
      </c>
      <c r="D38" s="1"/>
      <c r="E38" s="1" t="s">
        <v>111</v>
      </c>
      <c r="F38" s="1">
        <v>0</v>
      </c>
    </row>
    <row r="39" spans="1:6" ht="15.75" customHeight="1" x14ac:dyDescent="0.3">
      <c r="A39" t="s">
        <v>46</v>
      </c>
      <c r="C39" t="s">
        <v>159</v>
      </c>
      <c r="D39" s="1"/>
      <c r="E39" s="1" t="s">
        <v>111</v>
      </c>
      <c r="F39" s="1">
        <v>0</v>
      </c>
    </row>
    <row r="40" spans="1:6" ht="15.75" customHeight="1" x14ac:dyDescent="0.3">
      <c r="A40" s="32" t="s">
        <v>160</v>
      </c>
      <c r="C40" s="1" t="s">
        <v>161</v>
      </c>
      <c r="D40" s="1" t="s">
        <v>99</v>
      </c>
      <c r="E40" s="1" t="s">
        <v>111</v>
      </c>
      <c r="F40" s="1">
        <v>0</v>
      </c>
    </row>
    <row r="41" spans="1:6" ht="15.75" customHeight="1" x14ac:dyDescent="0.3">
      <c r="A41" t="s">
        <v>162</v>
      </c>
      <c r="C41" s="1" t="s">
        <v>163</v>
      </c>
      <c r="D41" s="1" t="s">
        <v>72</v>
      </c>
      <c r="E41" s="1" t="s">
        <v>73</v>
      </c>
      <c r="F41" s="1">
        <v>0</v>
      </c>
    </row>
    <row r="42" spans="1:6" ht="15.75" customHeight="1" x14ac:dyDescent="0.3">
      <c r="A42" t="s">
        <v>42</v>
      </c>
      <c r="C42" t="s">
        <v>164</v>
      </c>
      <c r="D42" s="1" t="s">
        <v>108</v>
      </c>
      <c r="E42" s="1" t="s">
        <v>108</v>
      </c>
      <c r="F42" s="1">
        <v>1</v>
      </c>
    </row>
    <row r="43" spans="1:6" ht="15.75" customHeight="1" x14ac:dyDescent="0.3">
      <c r="A43" t="s">
        <v>165</v>
      </c>
      <c r="C43" t="s">
        <v>166</v>
      </c>
      <c r="D43" s="1"/>
      <c r="E43" s="1" t="s">
        <v>86</v>
      </c>
      <c r="F43" s="1">
        <v>0</v>
      </c>
    </row>
    <row r="44" spans="1:6" ht="15.75" customHeight="1" x14ac:dyDescent="0.3">
      <c r="A44" t="s">
        <v>61</v>
      </c>
      <c r="C44" t="s">
        <v>167</v>
      </c>
      <c r="D44" s="1"/>
      <c r="E44" s="1" t="s">
        <v>73</v>
      </c>
      <c r="F44" s="1">
        <v>1</v>
      </c>
    </row>
    <row r="45" spans="1:6" ht="15.75" customHeight="1" x14ac:dyDescent="0.3">
      <c r="A45" t="s">
        <v>168</v>
      </c>
      <c r="C45" s="1" t="s">
        <v>28</v>
      </c>
      <c r="D45" s="1"/>
      <c r="E45" s="1" t="s">
        <v>73</v>
      </c>
      <c r="F45" s="1">
        <v>0</v>
      </c>
    </row>
    <row r="46" spans="1:6" ht="15.75" customHeight="1" x14ac:dyDescent="0.3">
      <c r="A46" t="s">
        <v>169</v>
      </c>
      <c r="C46" s="1" t="s">
        <v>170</v>
      </c>
      <c r="D46" s="1"/>
      <c r="E46" s="1" t="s">
        <v>119</v>
      </c>
      <c r="F46" s="1">
        <v>1</v>
      </c>
    </row>
    <row r="47" spans="1:6" ht="15.75" customHeight="1" x14ac:dyDescent="0.3">
      <c r="A47" t="s">
        <v>171</v>
      </c>
      <c r="C47" t="s">
        <v>172</v>
      </c>
      <c r="D47" s="1"/>
      <c r="E47" s="1" t="s">
        <v>108</v>
      </c>
      <c r="F47" s="1">
        <v>0</v>
      </c>
    </row>
    <row r="48" spans="1:6" ht="15.75" customHeight="1" x14ac:dyDescent="0.3">
      <c r="A48" t="s">
        <v>30</v>
      </c>
      <c r="C48" t="s">
        <v>36</v>
      </c>
      <c r="D48" s="1"/>
      <c r="E48" s="1" t="s">
        <v>86</v>
      </c>
      <c r="F48" s="1">
        <v>1</v>
      </c>
    </row>
    <row r="49" spans="1:6" ht="15.75" customHeight="1" x14ac:dyDescent="0.3">
      <c r="A49" t="s">
        <v>173</v>
      </c>
      <c r="C49" t="s">
        <v>174</v>
      </c>
      <c r="D49" s="1"/>
      <c r="E49" s="1" t="s">
        <v>86</v>
      </c>
      <c r="F49" s="1">
        <v>1</v>
      </c>
    </row>
    <row r="50" spans="1:6" ht="15.75" customHeight="1" x14ac:dyDescent="0.3">
      <c r="A50" t="s">
        <v>175</v>
      </c>
      <c r="C50" t="s">
        <v>176</v>
      </c>
      <c r="D50" s="1"/>
      <c r="E50" s="1" t="s">
        <v>86</v>
      </c>
      <c r="F50" s="1">
        <v>1</v>
      </c>
    </row>
    <row r="51" spans="1:6" ht="15.75" customHeight="1" x14ac:dyDescent="0.3">
      <c r="A51" t="s">
        <v>177</v>
      </c>
      <c r="C51" t="s">
        <v>51</v>
      </c>
      <c r="E51" s="1" t="s">
        <v>119</v>
      </c>
      <c r="F51" s="1">
        <v>0</v>
      </c>
    </row>
    <row r="52" spans="1:6" ht="15.75" customHeight="1" x14ac:dyDescent="0.3">
      <c r="A52" t="s">
        <v>178</v>
      </c>
      <c r="C52" t="s">
        <v>52</v>
      </c>
      <c r="D52" s="1"/>
      <c r="E52" s="1" t="s">
        <v>86</v>
      </c>
      <c r="F52" s="1">
        <v>0</v>
      </c>
    </row>
    <row r="53" spans="1:6" ht="15.75" customHeight="1" x14ac:dyDescent="0.3">
      <c r="A53" t="s">
        <v>179</v>
      </c>
      <c r="C53" t="s">
        <v>180</v>
      </c>
      <c r="D53" s="1"/>
      <c r="E53" s="1" t="s">
        <v>86</v>
      </c>
      <c r="F53" s="1">
        <v>0</v>
      </c>
    </row>
    <row r="54" spans="1:6" ht="15.75" customHeight="1" x14ac:dyDescent="0.3">
      <c r="A54" s="30" t="s">
        <v>181</v>
      </c>
      <c r="C54" t="s">
        <v>182</v>
      </c>
      <c r="D54" s="1"/>
      <c r="E54" s="1" t="s">
        <v>77</v>
      </c>
      <c r="F54" s="1">
        <v>0</v>
      </c>
    </row>
    <row r="55" spans="1:6" ht="15.75" customHeight="1" x14ac:dyDescent="0.3">
      <c r="A55" t="s">
        <v>56</v>
      </c>
      <c r="C55" t="s">
        <v>53</v>
      </c>
      <c r="D55" s="1"/>
      <c r="E55" s="1"/>
      <c r="F55" s="1"/>
    </row>
    <row r="56" spans="1:6" ht="15" customHeight="1" x14ac:dyDescent="0.3">
      <c r="A56" t="s">
        <v>183</v>
      </c>
      <c r="C56" t="s">
        <v>184</v>
      </c>
      <c r="D56" s="1"/>
      <c r="E56" s="1" t="s">
        <v>77</v>
      </c>
      <c r="F56" s="1">
        <v>0</v>
      </c>
    </row>
    <row r="57" spans="1:6" ht="15" customHeight="1" x14ac:dyDescent="0.3">
      <c r="A57" t="s">
        <v>185</v>
      </c>
      <c r="C57" s="1" t="s">
        <v>186</v>
      </c>
      <c r="D57" s="1"/>
      <c r="E57" s="1" t="s">
        <v>108</v>
      </c>
      <c r="F57" s="1">
        <v>0</v>
      </c>
    </row>
    <row r="58" spans="1:6" ht="15" customHeight="1" x14ac:dyDescent="0.3">
      <c r="A58" t="s">
        <v>38</v>
      </c>
      <c r="C58" t="s">
        <v>187</v>
      </c>
      <c r="D58" s="1"/>
      <c r="E58" s="1" t="s">
        <v>86</v>
      </c>
      <c r="F58" s="1"/>
    </row>
    <row r="59" spans="1:6" ht="15" customHeight="1" x14ac:dyDescent="0.3">
      <c r="A59" t="s">
        <v>188</v>
      </c>
      <c r="C59" t="s">
        <v>189</v>
      </c>
      <c r="D59" s="1"/>
      <c r="E59" s="1"/>
      <c r="F59" s="1"/>
    </row>
    <row r="60" spans="1:6" ht="15" customHeight="1" x14ac:dyDescent="0.3">
      <c r="A60" t="s">
        <v>190</v>
      </c>
      <c r="C60" s="1" t="s">
        <v>191</v>
      </c>
      <c r="D60" s="1"/>
      <c r="E60" s="1" t="s">
        <v>77</v>
      </c>
      <c r="F60" s="1">
        <v>1</v>
      </c>
    </row>
    <row r="61" spans="1:6" ht="15" customHeight="1" x14ac:dyDescent="0.3">
      <c r="A61" t="s">
        <v>39</v>
      </c>
      <c r="C61" t="s">
        <v>192</v>
      </c>
      <c r="D61" s="1"/>
      <c r="E61" s="1" t="s">
        <v>86</v>
      </c>
      <c r="F61" s="1">
        <v>0</v>
      </c>
    </row>
    <row r="62" spans="1:6" ht="15" customHeight="1" x14ac:dyDescent="0.3">
      <c r="A62" t="s">
        <v>193</v>
      </c>
      <c r="C62" t="s">
        <v>194</v>
      </c>
      <c r="D62" s="1"/>
      <c r="E62" s="1" t="s">
        <v>86</v>
      </c>
      <c r="F62" s="1">
        <v>1</v>
      </c>
    </row>
    <row r="63" spans="1:6" ht="15" customHeight="1" x14ac:dyDescent="0.3">
      <c r="A63" t="s">
        <v>195</v>
      </c>
      <c r="C63" t="s">
        <v>196</v>
      </c>
      <c r="D63" s="1"/>
      <c r="E63" s="1" t="s">
        <v>77</v>
      </c>
      <c r="F63" s="1">
        <v>1</v>
      </c>
    </row>
    <row r="64" spans="1:6" ht="15" customHeight="1" x14ac:dyDescent="0.3">
      <c r="A64" t="s">
        <v>197</v>
      </c>
      <c r="C64" t="s">
        <v>198</v>
      </c>
      <c r="D64" s="1"/>
      <c r="E64" s="1" t="s">
        <v>86</v>
      </c>
      <c r="F64" s="1">
        <v>1</v>
      </c>
    </row>
    <row r="65" spans="3:6" ht="15" customHeight="1" x14ac:dyDescent="0.3">
      <c r="C65" t="s">
        <v>199</v>
      </c>
      <c r="D65" s="1"/>
      <c r="E65" s="1" t="s">
        <v>86</v>
      </c>
      <c r="F65" s="1">
        <v>0</v>
      </c>
    </row>
    <row r="66" spans="3:6" ht="15" customHeight="1" x14ac:dyDescent="0.3">
      <c r="C66" t="s">
        <v>200</v>
      </c>
      <c r="D66" s="1"/>
      <c r="E66" s="1" t="s">
        <v>77</v>
      </c>
      <c r="F66" s="1">
        <v>0</v>
      </c>
    </row>
    <row r="67" spans="3:6" ht="15" customHeight="1" x14ac:dyDescent="0.3">
      <c r="C67" t="s">
        <v>201</v>
      </c>
      <c r="D67" s="1"/>
      <c r="E67" s="1" t="s">
        <v>119</v>
      </c>
      <c r="F67" s="1">
        <v>1</v>
      </c>
    </row>
    <row r="68" spans="3:6" ht="15" customHeight="1" x14ac:dyDescent="0.3">
      <c r="C68" s="1" t="s">
        <v>202</v>
      </c>
      <c r="D68" s="1"/>
      <c r="E68" s="1" t="s">
        <v>108</v>
      </c>
      <c r="F68" s="1">
        <v>0</v>
      </c>
    </row>
    <row r="69" spans="3:6" ht="15" customHeight="1" x14ac:dyDescent="0.3">
      <c r="C69" s="1" t="s">
        <v>33</v>
      </c>
      <c r="D69" s="1"/>
      <c r="E69" s="1" t="s">
        <v>86</v>
      </c>
      <c r="F69" s="1">
        <v>0</v>
      </c>
    </row>
    <row r="70" spans="3:6" ht="15" customHeight="1" x14ac:dyDescent="0.3">
      <c r="C70" s="1" t="s">
        <v>203</v>
      </c>
      <c r="D70" s="1"/>
      <c r="E70" s="1" t="s">
        <v>108</v>
      </c>
      <c r="F70" s="1">
        <v>1</v>
      </c>
    </row>
    <row r="71" spans="3:6" ht="15" customHeight="1" x14ac:dyDescent="0.3">
      <c r="C71" t="s">
        <v>204</v>
      </c>
      <c r="D71" s="1"/>
      <c r="E71" s="1" t="s">
        <v>86</v>
      </c>
      <c r="F71" s="1">
        <v>1</v>
      </c>
    </row>
    <row r="72" spans="3:6" ht="15" customHeight="1" x14ac:dyDescent="0.3">
      <c r="C72" s="1" t="s">
        <v>205</v>
      </c>
      <c r="D72" s="1" t="s">
        <v>206</v>
      </c>
      <c r="E72" s="1" t="s">
        <v>111</v>
      </c>
      <c r="F72" s="1">
        <v>0</v>
      </c>
    </row>
    <row r="73" spans="3:6" ht="15" customHeight="1" x14ac:dyDescent="0.3">
      <c r="C73" t="s">
        <v>64</v>
      </c>
      <c r="D73" s="1" t="s">
        <v>207</v>
      </c>
      <c r="E73" s="1" t="s">
        <v>86</v>
      </c>
      <c r="F73" s="1">
        <v>0</v>
      </c>
    </row>
    <row r="74" spans="3:6" ht="15" customHeight="1" x14ac:dyDescent="0.3">
      <c r="C74" t="s">
        <v>208</v>
      </c>
      <c r="D74" s="1"/>
      <c r="E74" s="1" t="s">
        <v>108</v>
      </c>
      <c r="F74" s="1">
        <v>0</v>
      </c>
    </row>
    <row r="75" spans="3:6" ht="15" customHeight="1" x14ac:dyDescent="0.3">
      <c r="C75" t="s">
        <v>209</v>
      </c>
      <c r="D75" s="1"/>
      <c r="E75" s="1" t="s">
        <v>77</v>
      </c>
      <c r="F75" s="1">
        <v>0</v>
      </c>
    </row>
    <row r="76" spans="3:6" ht="15" customHeight="1" x14ac:dyDescent="0.3">
      <c r="C76" t="s">
        <v>210</v>
      </c>
      <c r="D76" s="1"/>
      <c r="E76" s="1" t="s">
        <v>77</v>
      </c>
      <c r="F76" s="1">
        <v>0</v>
      </c>
    </row>
    <row r="77" spans="3:6" ht="15" customHeight="1" x14ac:dyDescent="0.3">
      <c r="C77" s="1" t="s">
        <v>211</v>
      </c>
      <c r="D77" s="1" t="s">
        <v>108</v>
      </c>
      <c r="E77" s="1" t="s">
        <v>108</v>
      </c>
      <c r="F77" s="1">
        <v>0</v>
      </c>
    </row>
    <row r="78" spans="3:6" ht="15" customHeight="1" x14ac:dyDescent="0.3">
      <c r="C78" t="s">
        <v>212</v>
      </c>
      <c r="D78" s="1"/>
      <c r="E78" s="1" t="s">
        <v>86</v>
      </c>
      <c r="F78" s="1">
        <v>0</v>
      </c>
    </row>
    <row r="79" spans="3:6" ht="15" customHeight="1" x14ac:dyDescent="0.3">
      <c r="C79" t="s">
        <v>213</v>
      </c>
      <c r="D79" s="1"/>
      <c r="E79" s="1" t="s">
        <v>77</v>
      </c>
      <c r="F79" s="1">
        <v>1</v>
      </c>
    </row>
    <row r="80" spans="3:6" ht="15" customHeight="1" x14ac:dyDescent="0.3">
      <c r="C80" t="s">
        <v>214</v>
      </c>
      <c r="D80" s="1"/>
      <c r="E80" s="1" t="s">
        <v>86</v>
      </c>
      <c r="F80" s="1">
        <v>0</v>
      </c>
    </row>
    <row r="81" spans="3:15" ht="15" customHeight="1" x14ac:dyDescent="0.3">
      <c r="C81" t="s">
        <v>215</v>
      </c>
      <c r="D81" s="1" t="s">
        <v>85</v>
      </c>
      <c r="E81" s="1" t="s">
        <v>86</v>
      </c>
      <c r="F81" s="1">
        <v>0</v>
      </c>
    </row>
    <row r="82" spans="3:15" ht="15" customHeight="1" x14ac:dyDescent="0.3">
      <c r="C82" s="1" t="s">
        <v>216</v>
      </c>
      <c r="D82" s="1" t="s">
        <v>86</v>
      </c>
      <c r="E82" s="1" t="s">
        <v>86</v>
      </c>
      <c r="F82" s="1">
        <v>1</v>
      </c>
    </row>
    <row r="83" spans="3:15" ht="15" customHeight="1" x14ac:dyDescent="0.3">
      <c r="C83" t="s">
        <v>217</v>
      </c>
      <c r="D83" s="1"/>
      <c r="E83" s="1" t="s">
        <v>77</v>
      </c>
      <c r="F83" s="1">
        <v>1</v>
      </c>
    </row>
    <row r="84" spans="3:15" ht="15" customHeight="1" x14ac:dyDescent="0.3">
      <c r="C84" t="s">
        <v>218</v>
      </c>
      <c r="D84" s="1"/>
      <c r="E84" s="1"/>
      <c r="F84" s="1"/>
    </row>
    <row r="85" spans="3:15" ht="15" customHeight="1" x14ac:dyDescent="0.3">
      <c r="C85" t="s">
        <v>219</v>
      </c>
      <c r="D85" s="1"/>
      <c r="E85" s="1" t="s">
        <v>86</v>
      </c>
      <c r="F85" s="1">
        <v>0</v>
      </c>
    </row>
    <row r="86" spans="3:15" ht="15" customHeight="1" x14ac:dyDescent="0.3">
      <c r="C86" s="1" t="s">
        <v>220</v>
      </c>
      <c r="D86" s="1" t="s">
        <v>108</v>
      </c>
      <c r="E86" s="1" t="s">
        <v>108</v>
      </c>
      <c r="F86" s="1">
        <v>0</v>
      </c>
    </row>
    <row r="87" spans="3:15" ht="15" customHeight="1" x14ac:dyDescent="0.3">
      <c r="C87" t="s">
        <v>221</v>
      </c>
      <c r="D87" s="1"/>
      <c r="E87" s="1" t="s">
        <v>108</v>
      </c>
      <c r="F87" s="1">
        <v>0</v>
      </c>
    </row>
    <row r="88" spans="3:15" ht="15" customHeight="1" x14ac:dyDescent="0.3">
      <c r="C88" t="s">
        <v>222</v>
      </c>
      <c r="D88" s="1"/>
      <c r="E88" s="1" t="s">
        <v>86</v>
      </c>
      <c r="F88" s="1">
        <v>1</v>
      </c>
    </row>
    <row r="89" spans="3:15" ht="15" customHeight="1" x14ac:dyDescent="0.3">
      <c r="C89" t="s">
        <v>48</v>
      </c>
      <c r="D89" s="1"/>
      <c r="E89" s="1" t="s">
        <v>108</v>
      </c>
      <c r="F89" s="1">
        <v>0</v>
      </c>
    </row>
    <row r="90" spans="3:15" ht="15" customHeight="1" x14ac:dyDescent="0.3">
      <c r="C90" t="s">
        <v>223</v>
      </c>
      <c r="D90" s="1" t="s">
        <v>108</v>
      </c>
      <c r="E90" s="1" t="s">
        <v>108</v>
      </c>
      <c r="F90" s="1">
        <v>1</v>
      </c>
    </row>
    <row r="91" spans="3:15" ht="15" customHeight="1" x14ac:dyDescent="0.3">
      <c r="C91" t="s">
        <v>224</v>
      </c>
      <c r="D91" s="1"/>
      <c r="E91" s="1" t="s">
        <v>225</v>
      </c>
      <c r="F91" s="1"/>
    </row>
    <row r="92" spans="3:15" ht="15" customHeight="1" x14ac:dyDescent="0.3">
      <c r="D92" s="1"/>
      <c r="E92" s="1"/>
      <c r="F92" s="1"/>
      <c r="G92" s="1"/>
      <c r="I92" s="1"/>
      <c r="J92" s="1"/>
      <c r="K92" s="1"/>
      <c r="L92" s="1"/>
      <c r="M92" s="1"/>
      <c r="N92" s="1"/>
      <c r="O92" s="1"/>
    </row>
    <row r="93" spans="3:15" ht="15" customHeight="1" x14ac:dyDescent="0.3">
      <c r="D93" s="1"/>
      <c r="E93" s="1"/>
      <c r="F93" s="1"/>
      <c r="G93" s="1"/>
      <c r="I93" s="1"/>
      <c r="J93" s="1"/>
      <c r="K93" s="1"/>
      <c r="L93" s="1"/>
      <c r="M93" s="1"/>
      <c r="N93" s="1"/>
      <c r="O93" s="1"/>
    </row>
    <row r="94" spans="3:15" ht="15" customHeight="1" x14ac:dyDescent="0.3">
      <c r="D94" s="1"/>
      <c r="E94" s="1"/>
      <c r="F94" s="1"/>
      <c r="G94" s="1"/>
      <c r="I94" s="1"/>
      <c r="J94" s="1"/>
      <c r="K94" s="1"/>
      <c r="L94" s="1"/>
      <c r="M94" s="1"/>
      <c r="N94" s="1"/>
      <c r="O94" s="1"/>
    </row>
    <row r="95" spans="3:15" ht="15" customHeight="1" x14ac:dyDescent="0.3">
      <c r="D95" s="1"/>
      <c r="E95" s="1"/>
      <c r="F95" s="1"/>
      <c r="G95" s="1"/>
      <c r="I95" s="1"/>
      <c r="J95" s="1"/>
      <c r="K95" s="1"/>
      <c r="L95" s="1"/>
      <c r="M95" s="1"/>
      <c r="N95" s="1"/>
      <c r="O95" s="1"/>
    </row>
    <row r="96" spans="3:15" ht="15" customHeight="1" x14ac:dyDescent="0.3">
      <c r="D96" s="1"/>
      <c r="E96" s="1"/>
      <c r="F96" s="1"/>
      <c r="G96" s="1"/>
      <c r="I96" s="1"/>
      <c r="J96" s="1"/>
      <c r="K96" s="1"/>
      <c r="L96" s="1"/>
      <c r="M96" s="1"/>
      <c r="N96" s="1"/>
      <c r="O96" s="1"/>
    </row>
    <row r="97" spans="4:15" ht="15" customHeight="1" x14ac:dyDescent="0.3">
      <c r="D97" s="1"/>
      <c r="E97" s="1"/>
      <c r="F97" s="1"/>
      <c r="G97" s="1"/>
      <c r="I97" s="1"/>
      <c r="J97" s="1"/>
      <c r="K97" s="1"/>
      <c r="L97" s="1"/>
      <c r="M97" s="1"/>
      <c r="N97" s="1"/>
      <c r="O97" s="1"/>
    </row>
    <row r="98" spans="4:15" ht="15" customHeight="1" x14ac:dyDescent="0.3">
      <c r="D98" s="1"/>
      <c r="E98" s="1"/>
      <c r="F98" s="1"/>
      <c r="G98" s="1"/>
      <c r="I98" s="1"/>
      <c r="J98" s="1"/>
      <c r="K98" s="1"/>
      <c r="L98" s="1"/>
      <c r="M98" s="1"/>
      <c r="N98" s="1"/>
      <c r="O98" s="1"/>
    </row>
    <row r="99" spans="4:15" ht="15" customHeight="1" x14ac:dyDescent="0.3">
      <c r="D99" s="1"/>
      <c r="E99" s="1"/>
      <c r="F99" s="1"/>
      <c r="G99" s="1"/>
      <c r="I99" s="1"/>
      <c r="J99" s="1"/>
      <c r="K99" s="1"/>
      <c r="L99" s="1"/>
      <c r="M99" s="1"/>
      <c r="N99" s="1"/>
      <c r="O99" s="1"/>
    </row>
  </sheetData>
  <conditionalFormatting sqref="I15">
    <cfRule type="expression" dxfId="3" priority="1">
      <formula>I14&gt;I13</formula>
    </cfRule>
  </conditionalFormatting>
  <dataValidations count="2">
    <dataValidation type="list" allowBlank="1" showErrorMessage="1" sqref="A23" xr:uid="{61905603-99A3-4830-AA91-E0FF7E3BC8F1}">
      <formula1>$A:$A</formula1>
    </dataValidation>
    <dataValidation type="list" allowBlank="1" showErrorMessage="1" sqref="A33" xr:uid="{34D00201-ED63-4EDC-BE07-F7F98EAB7B59}">
      <formula1>INDIRECT("mastername[name]")</formula1>
    </dataValidation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0AE1-0172-4621-AAA4-6AC681F0F00F}">
  <sheetPr>
    <tabColor theme="7"/>
  </sheetPr>
  <dimension ref="A1:AD68"/>
  <sheetViews>
    <sheetView zoomScaleNormal="100" workbookViewId="0">
      <selection activeCell="R18" sqref="R18"/>
    </sheetView>
  </sheetViews>
  <sheetFormatPr defaultColWidth="14.44140625" defaultRowHeight="14.25" customHeight="1" x14ac:dyDescent="0.3"/>
  <cols>
    <col min="1" max="1" width="20.6640625" customWidth="1"/>
    <col min="2" max="2" width="24.33203125" bestFit="1" customWidth="1"/>
    <col min="3" max="3" width="14.44140625" style="20" customWidth="1"/>
    <col min="4" max="4" width="9.6640625" style="21" hidden="1" customWidth="1"/>
    <col min="5" max="5" width="6.5546875" style="21" hidden="1" customWidth="1"/>
    <col min="6" max="6" width="6.6640625" style="21" hidden="1" customWidth="1"/>
    <col min="7" max="7" width="7.5546875" style="21" hidden="1" customWidth="1"/>
    <col min="8" max="8" width="7.109375" style="22" hidden="1" customWidth="1"/>
    <col min="9" max="9" width="9.5546875" style="22" hidden="1" customWidth="1"/>
    <col min="10" max="10" width="14.44140625" style="5" customWidth="1"/>
    <col min="11" max="11" width="9.5546875" style="23" customWidth="1"/>
    <col min="12" max="12" width="8.88671875" style="23" customWidth="1"/>
    <col min="13" max="13" width="9" style="17" bestFit="1" customWidth="1"/>
    <col min="14" max="14" width="8.33203125" bestFit="1" customWidth="1"/>
    <col min="15" max="15" width="13.44140625" style="18" hidden="1" customWidth="1"/>
    <col min="16" max="16" width="9.44140625" style="18" bestFit="1" customWidth="1"/>
    <col min="17" max="17" width="10.6640625" style="18" customWidth="1"/>
    <col min="18" max="18" width="12.33203125" bestFit="1" customWidth="1"/>
    <col min="19" max="19" width="11.44140625" bestFit="1" customWidth="1"/>
    <col min="20" max="20" width="8.6640625" customWidth="1"/>
    <col min="21" max="21" width="7.88671875" bestFit="1" customWidth="1"/>
    <col min="22" max="23" width="20.6640625" customWidth="1"/>
    <col min="24" max="25" width="7.6640625" bestFit="1" customWidth="1"/>
    <col min="26" max="26" width="6.33203125" bestFit="1" customWidth="1"/>
    <col min="27" max="28" width="9" bestFit="1" customWidth="1"/>
    <col min="29" max="30" width="16.44140625" hidden="1" customWidth="1"/>
  </cols>
  <sheetData>
    <row r="1" spans="1:30" ht="14.25" customHeight="1" x14ac:dyDescent="0.35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7" t="s">
        <v>13</v>
      </c>
      <c r="O1" s="9" t="s">
        <v>14</v>
      </c>
      <c r="P1" s="9" t="s">
        <v>15</v>
      </c>
      <c r="Q1" s="9"/>
      <c r="R1" s="1" t="s">
        <v>16</v>
      </c>
      <c r="S1" s="10">
        <v>45890</v>
      </c>
      <c r="T1" s="11"/>
      <c r="U1" s="12" t="s">
        <v>17</v>
      </c>
      <c r="V1" s="13" t="s">
        <v>18</v>
      </c>
      <c r="W1" s="14" t="s">
        <v>19</v>
      </c>
      <c r="X1" s="13" t="s">
        <v>20</v>
      </c>
      <c r="Y1" s="14" t="s">
        <v>21</v>
      </c>
      <c r="Z1" s="14" t="s">
        <v>22</v>
      </c>
      <c r="AA1" s="13" t="s">
        <v>23</v>
      </c>
      <c r="AB1" s="15" t="s">
        <v>24</v>
      </c>
      <c r="AC1" t="s">
        <v>25</v>
      </c>
      <c r="AD1" t="s">
        <v>26</v>
      </c>
    </row>
    <row r="2" spans="1:30" ht="14.25" customHeight="1" x14ac:dyDescent="0.3">
      <c r="A2" t="s">
        <v>35</v>
      </c>
      <c r="B2" s="1" t="s">
        <v>36</v>
      </c>
      <c r="C2" s="2">
        <f>IF(ISBLANK(Week_71[[#This Row],[Player]]),-1,SUMIF(V:V,Week_71[[#This Row],[Player]],AA:AA)+SUMIF(W:W,Week_71[[#This Row],[Player]],AB:AB))</f>
        <v>12</v>
      </c>
      <c r="D2" s="3" cm="1">
        <f t="array" ref="D2">_xlfn.IFS(Week_71[[#This Row],[Points]]=S$4+3,4,Week_71[[#This Row],[Points]]&gt;S$4,3,Week_71[[#This Row],[Points]]=S$4,2,Week_71[[#This Row],[Points]]&lt;S$4,"")</f>
        <v>4</v>
      </c>
      <c r="E2" s="3">
        <f>IF(ISBLANK(Week_71[[#This Row],[Player]]),"",COUNTIFS(AA:AB,3,V:W,Week_71[[#This Row],[Player]]))</f>
        <v>4</v>
      </c>
      <c r="F2" s="3">
        <f>IF(ISBLANK(Week_71[[#This Row],[Player]]),"",COUNTIFS(AA:AB,0,V:W,Week_71[[#This Row],[Player]]))</f>
        <v>0</v>
      </c>
      <c r="G2" s="3">
        <f>IF(ISBLANK(Week_71[[#This Row],[Player]]),"",COUNTIFS(AA:AB,1,V:W,Week_71[[#This Row],[Player]]))</f>
        <v>0</v>
      </c>
      <c r="H2" s="4">
        <f>IF(ISBLANK(Week_71[[#This Row],[Player]]),"",COUNTIFS(V:V,Week_71[[#This Row],[Player]],W:W,""))</f>
        <v>0</v>
      </c>
      <c r="I2" s="4">
        <f>IF(ISBLANK(Week_71[[#This Row],[Player]]),"",COUNTIF(V:W,Week_71[[#This Row],[Player]]))</f>
        <v>4</v>
      </c>
      <c r="J2" s="5" t="str">
        <f>IF(ISBLANK(Week_71[[#This Row],[Player]]),"",Week_71[[#This Row],[Win]]&amp;"-"&amp;Week_71[[#This Row],[Loss]]&amp;"-"&amp;Week_71[[#This Row],[Draw]])</f>
        <v>4-0-0</v>
      </c>
      <c r="K2" s="6" cm="1">
        <f t="array" ref="K2">IF(ISBLANK(Week_71[[#This Row],[Player]]),"",(AVERAGE(_xlfn.XLOOKUP(_xlfn.VSTACK(_xlfn._xlws.FILTER(W:W,V:V=Week_71[[#This Row],[Player]],""),_xlfn._xlws.FILTER(V:V,W:W=Week_71[[#This Row],[Player]],"")), Week_71[Player], Week_71[MW%], ""))))</f>
        <v>0.60416666666666674</v>
      </c>
      <c r="L2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0.72727272727272729</v>
      </c>
      <c r="M2" s="8" cm="1">
        <f t="array" ref="M2">IF(ISBLANK(Week_71[[#This Row],[Player]]),"",(AVERAGE(_xlfn.XLOOKUP(_xlfn.VSTACK(_xlfn._xlws.FILTER(W:W,V:V=Week_71[[#This Row],[Player]],""),_xlfn._xlws.FILTER(V:V,W:W=Week_71[[#This Row],[Player]],"")), Week_71[Player], Week_71[GW%], ""))))</f>
        <v>0.59242424242424241</v>
      </c>
      <c r="N2" s="7">
        <f>IF(ISBLANK(Week_71[[#This Row],[Player]]),"",MAX((1/3),IFERROR(Week_71[[#This Row],[Points]]/(Week_71[[#This Row],[Rounds]]*3),"")))</f>
        <v>1</v>
      </c>
      <c r="O2"/>
      <c r="P2" s="9">
        <f>IF(Week_71[[#This Row],[Points]]&gt;=S$4,S$5*Week_71[[#This Row],[calcWin]]/SUM(Week_71[calcWin])+Week_71[[#This Row],[OMF Bonus]],IF(Week_71[[#This Row],[OMF Bonus]]&gt;0,Week_71[[#This Row],[OMF Bonus]],""))</f>
        <v>440</v>
      </c>
      <c r="Q2" s="9"/>
      <c r="R2" t="s">
        <v>29</v>
      </c>
      <c r="S2">
        <f>COUNTA(_xlfn.UNIQUE(A:A))-2</f>
        <v>14</v>
      </c>
      <c r="U2" t="str" cm="1">
        <f t="array" ref="U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1</v>
      </c>
      <c r="V2" s="1" t="s">
        <v>31</v>
      </c>
      <c r="W2" s="1" t="s">
        <v>56</v>
      </c>
      <c r="X2" s="1">
        <v>2</v>
      </c>
      <c r="Y2" s="1">
        <v>0</v>
      </c>
      <c r="Z2">
        <v>0</v>
      </c>
      <c r="AA2" cm="1">
        <f t="array" ref="AA2">IF(AND(V2&lt;&gt;"",W2=""),3,_xlfn.IFS(AND(X2="",Y2=""),"",X2&gt;Y2,3,X2&lt;Y2,0,X2=Y2,1))</f>
        <v>3</v>
      </c>
      <c r="AB2" s="16">
        <f t="shared" ref="AB2:AB65" si="0">IF(W2="", "", IF(X2=Y2, 1, IF(X2&lt;Y2, 3, IF(X2&gt;Y2, 0, ""))))</f>
        <v>0</v>
      </c>
      <c r="AC2" t="str">
        <f>IF(Week_71Games[[#This Row],[Player 2]]="","",_xlfn.XLOOKUP(Week_71Games[[#This Row],[Player 1]],Week_71[Player],Week_71[Deck]))</f>
        <v>Nazu Wizards</v>
      </c>
      <c r="AD2" t="str">
        <f>IF(Week_71Games[[#This Row],[Player 2]]="","",_xlfn.XLOOKUP(Week_71Games[[#This Row],[Player 2]],Week_71[Player],Week_71[Deck]))</f>
        <v>Sneak and Show</v>
      </c>
    </row>
    <row r="3" spans="1:30" ht="14.25" customHeight="1" x14ac:dyDescent="0.3">
      <c r="A3" t="s">
        <v>39</v>
      </c>
      <c r="B3" s="1" t="s">
        <v>57</v>
      </c>
      <c r="C3" s="2">
        <f>IF(ISBLANK(Week_71[[#This Row],[Player]]),-1,SUMIF(V:V,Week_71[[#This Row],[Player]],AA:AA)+SUMIF(W:W,Week_71[[#This Row],[Player]],AB:AB))</f>
        <v>9</v>
      </c>
      <c r="D3" s="3" cm="1">
        <f t="array" ref="D3">_xlfn.IFS(Week_71[[#This Row],[Points]]=S$4+3,4,Week_71[[#This Row],[Points]]&gt;S$4,3,Week_71[[#This Row],[Points]]=S$4,2,Week_71[[#This Row],[Points]]&lt;S$4,"")</f>
        <v>2</v>
      </c>
      <c r="E3" s="3">
        <f>IF(ISBLANK(Week_71[[#This Row],[Player]]),"",COUNTIFS(AA:AB,3,V:W,Week_71[[#This Row],[Player]]))</f>
        <v>3</v>
      </c>
      <c r="F3" s="3">
        <f>IF(ISBLANK(Week_71[[#This Row],[Player]]),"",COUNTIFS(AA:AB,0,V:W,Week_71[[#This Row],[Player]]))</f>
        <v>1</v>
      </c>
      <c r="G3" s="3">
        <f>IF(ISBLANK(Week_71[[#This Row],[Player]]),"",COUNTIFS(AA:AB,1,V:W,Week_71[[#This Row],[Player]]))</f>
        <v>0</v>
      </c>
      <c r="H3" s="4">
        <f>IF(ISBLANK(Week_71[[#This Row],[Player]]),"",COUNTIFS(V:V,Week_71[[#This Row],[Player]],W:W,""))</f>
        <v>0</v>
      </c>
      <c r="I3" s="4">
        <f>IF(ISBLANK(Week_71[[#This Row],[Player]]),"",COUNTIF(V:W,Week_71[[#This Row],[Player]]))</f>
        <v>4</v>
      </c>
      <c r="J3" s="5" t="str">
        <f>IF(ISBLANK(Week_71[[#This Row],[Player]]),"",Week_71[[#This Row],[Win]]&amp;"-"&amp;Week_71[[#This Row],[Loss]]&amp;"-"&amp;Week_71[[#This Row],[Draw]])</f>
        <v>3-1-0</v>
      </c>
      <c r="K3" s="6" cm="1">
        <f t="array" ref="K3">IF(ISBLANK(Week_71[[#This Row],[Player]]),"",(AVERAGE(_xlfn.XLOOKUP(_xlfn.VSTACK(_xlfn._xlws.FILTER(W:W,V:V=Week_71[[#This Row],[Player]],""),_xlfn._xlws.FILTER(V:V,W:W=Week_71[[#This Row],[Player]],"")), Week_71[Player], Week_71[MW%], ""))))</f>
        <v>0.64583333333333326</v>
      </c>
      <c r="L3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0.63636363636363635</v>
      </c>
      <c r="M3" s="8" cm="1">
        <f t="array" ref="M3">IF(ISBLANK(Week_71[[#This Row],[Player]]),"",(AVERAGE(_xlfn.XLOOKUP(_xlfn.VSTACK(_xlfn._xlws.FILTER(W:W,V:V=Week_71[[#This Row],[Player]],""),_xlfn._xlws.FILTER(V:V,W:W=Week_71[[#This Row],[Player]],"")), Week_71[Player], Week_71[GW%], ""))))</f>
        <v>0.53787878787878785</v>
      </c>
      <c r="N3" s="7">
        <f>IF(ISBLANK(Week_71[[#This Row],[Player]]),"",MAX((1/3),IFERROR(Week_71[[#This Row],[Points]]/(Week_71[[#This Row],[Rounds]]*3),"")))</f>
        <v>0.75</v>
      </c>
      <c r="O3"/>
      <c r="P3" s="9">
        <f>IF(Week_71[[#This Row],[Points]]&gt;=S$4,S$5*Week_71[[#This Row],[calcWin]]/SUM(Week_71[calcWin])+Week_71[[#This Row],[OMF Bonus]],IF(Week_71[[#This Row],[OMF Bonus]]&gt;0,Week_71[[#This Row],[OMF Bonus]],""))</f>
        <v>220</v>
      </c>
      <c r="Q3" s="9"/>
      <c r="R3" s="17" t="s">
        <v>34</v>
      </c>
      <c r="S3">
        <f>MIN(CEILING(LOG(S2, 2), 1),4)</f>
        <v>4</v>
      </c>
      <c r="T3" s="1"/>
      <c r="U3" t="str" cm="1">
        <f t="array" ref="U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2</v>
      </c>
      <c r="V3" s="1" t="s">
        <v>58</v>
      </c>
      <c r="W3" s="1" t="s">
        <v>35</v>
      </c>
      <c r="X3" s="1">
        <v>1</v>
      </c>
      <c r="Y3" s="1">
        <v>2</v>
      </c>
      <c r="Z3">
        <v>0</v>
      </c>
      <c r="AA3" cm="1">
        <f t="array" ref="AA3">IF(AND(V3&lt;&gt;"",W3=""),3,_xlfn.IFS(AND(X3="",Y3=""),"",X3&gt;Y3,3,X3&lt;Y3,0,X3=Y3,1))</f>
        <v>0</v>
      </c>
      <c r="AB3" s="16">
        <f t="shared" si="0"/>
        <v>3</v>
      </c>
      <c r="AC3" t="str">
        <f>IF(Week_71Games[[#This Row],[Player 2]]="","",_xlfn.XLOOKUP(Week_71Games[[#This Row],[Player 1]],Week_71[Player],Week_71[Deck]))</f>
        <v>Cloudpost</v>
      </c>
      <c r="AD3" t="str">
        <f>IF(Week_71Games[[#This Row],[Player 2]]="","",_xlfn.XLOOKUP(Week_71Games[[#This Row],[Player 2]],Week_71[Player],Week_71[Deck]))</f>
        <v>Mono B Reanimator</v>
      </c>
    </row>
    <row r="4" spans="1:30" ht="14.25" customHeight="1" x14ac:dyDescent="0.3">
      <c r="A4" t="s">
        <v>43</v>
      </c>
      <c r="B4" s="1" t="s">
        <v>59</v>
      </c>
      <c r="C4" s="2">
        <f>IF(ISBLANK(Week_71[[#This Row],[Player]]),-1,SUMIF(V:V,Week_71[[#This Row],[Player]],AA:AA)+SUMIF(W:W,Week_71[[#This Row],[Player]],AB:AB))</f>
        <v>9</v>
      </c>
      <c r="D4" s="3" cm="1">
        <f t="array" ref="D4">_xlfn.IFS(Week_71[[#This Row],[Points]]=S$4+3,4,Week_71[[#This Row],[Points]]&gt;S$4,3,Week_71[[#This Row],[Points]]=S$4,2,Week_71[[#This Row],[Points]]&lt;S$4,"")</f>
        <v>2</v>
      </c>
      <c r="E4" s="3">
        <f>IF(ISBLANK(Week_71[[#This Row],[Player]]),"",COUNTIFS(AA:AB,3,V:W,Week_71[[#This Row],[Player]]))</f>
        <v>3</v>
      </c>
      <c r="F4" s="3">
        <f>IF(ISBLANK(Week_71[[#This Row],[Player]]),"",COUNTIFS(AA:AB,0,V:W,Week_71[[#This Row],[Player]]))</f>
        <v>1</v>
      </c>
      <c r="G4" s="3">
        <f>IF(ISBLANK(Week_71[[#This Row],[Player]]),"",COUNTIFS(AA:AB,1,V:W,Week_71[[#This Row],[Player]]))</f>
        <v>0</v>
      </c>
      <c r="H4" s="4">
        <f>IF(ISBLANK(Week_71[[#This Row],[Player]]),"",COUNTIFS(V:V,Week_71[[#This Row],[Player]],W:W,""))</f>
        <v>0</v>
      </c>
      <c r="I4" s="4">
        <f>IF(ISBLANK(Week_71[[#This Row],[Player]]),"",COUNTIF(V:W,Week_71[[#This Row],[Player]]))</f>
        <v>4</v>
      </c>
      <c r="J4" s="5" t="str">
        <f>IF(ISBLANK(Week_71[[#This Row],[Player]]),"",Week_71[[#This Row],[Win]]&amp;"-"&amp;Week_71[[#This Row],[Loss]]&amp;"-"&amp;Week_71[[#This Row],[Draw]])</f>
        <v>3-1-0</v>
      </c>
      <c r="K4" s="6" cm="1">
        <f t="array" ref="K4">IF(ISBLANK(Week_71[[#This Row],[Player]]),"",(AVERAGE(_xlfn.XLOOKUP(_xlfn.VSTACK(_xlfn._xlws.FILTER(W:W,V:V=Week_71[[#This Row],[Player]],""),_xlfn._xlws.FILTER(V:V,W:W=Week_71[[#This Row],[Player]],"")), Week_71[Player], Week_71[MW%], ""))))</f>
        <v>0.54166666666666663</v>
      </c>
      <c r="L4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0.66666666666666663</v>
      </c>
      <c r="M4" s="8" cm="1">
        <f t="array" ref="M4">IF(ISBLANK(Week_71[[#This Row],[Player]]),"",(AVERAGE(_xlfn.XLOOKUP(_xlfn.VSTACK(_xlfn._xlws.FILTER(W:W,V:V=Week_71[[#This Row],[Player]],""),_xlfn._xlws.FILTER(V:V,W:W=Week_71[[#This Row],[Player]],"")), Week_71[Player], Week_71[GW%], ""))))</f>
        <v>0.4621212121212121</v>
      </c>
      <c r="N4" s="7">
        <f>IF(ISBLANK(Week_71[[#This Row],[Player]]),"",MAX((1/3),IFERROR(Week_71[[#This Row],[Points]]/(Week_71[[#This Row],[Rounds]]*3),"")))</f>
        <v>0.75</v>
      </c>
      <c r="O4"/>
      <c r="P4" s="9">
        <f>IF(Week_71[[#This Row],[Points]]&gt;=S$4,S$5*Week_71[[#This Row],[calcWin]]/SUM(Week_71[calcWin])+Week_71[[#This Row],[OMF Bonus]],IF(Week_71[[#This Row],[OMF Bonus]]&gt;0,Week_71[[#This Row],[OMF Bonus]],""))</f>
        <v>220</v>
      </c>
      <c r="Q4" s="9"/>
      <c r="R4" t="s">
        <v>37</v>
      </c>
      <c r="S4">
        <f>(S$3 - 1) * 3</f>
        <v>9</v>
      </c>
      <c r="U4" t="str" cm="1">
        <f t="array" ref="U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3</v>
      </c>
      <c r="V4" s="1" t="s">
        <v>43</v>
      </c>
      <c r="W4" s="1" t="s">
        <v>38</v>
      </c>
      <c r="X4" s="1">
        <v>2</v>
      </c>
      <c r="Y4" s="1">
        <v>1</v>
      </c>
      <c r="Z4">
        <v>0</v>
      </c>
      <c r="AA4" cm="1">
        <f t="array" ref="AA4">IF(AND(V4&lt;&gt;"",W4=""),3,_xlfn.IFS(AND(X4="",Y4=""),"",X4&gt;Y4,3,X4&lt;Y4,0,X4=Y4,1))</f>
        <v>3</v>
      </c>
      <c r="AB4" s="16">
        <f t="shared" si="0"/>
        <v>0</v>
      </c>
      <c r="AC4" t="str">
        <f>IF(Week_71Games[[#This Row],[Player 2]]="","",_xlfn.XLOOKUP(Week_71Games[[#This Row],[Player 1]],Week_71[Player],Week_71[Deck]))</f>
        <v>BUG Beans</v>
      </c>
      <c r="AD4" t="str">
        <f>IF(Week_71Games[[#This Row],[Player 2]]="","",_xlfn.XLOOKUP(Week_71Games[[#This Row],[Player 2]],Week_71[Player],Week_71[Deck]))</f>
        <v>Grixis Tempo</v>
      </c>
    </row>
    <row r="5" spans="1:30" ht="14.25" customHeight="1" x14ac:dyDescent="0.3">
      <c r="A5" t="s">
        <v>46</v>
      </c>
      <c r="B5" s="1" t="s">
        <v>51</v>
      </c>
      <c r="C5" s="2">
        <f>IF(ISBLANK(Week_71[[#This Row],[Player]]),-1,SUMIF(V:V,Week_71[[#This Row],[Player]],AA:AA)+SUMIF(W:W,Week_71[[#This Row],[Player]],AB:AB))</f>
        <v>9</v>
      </c>
      <c r="D5" s="3" cm="1">
        <f t="array" ref="D5">_xlfn.IFS(Week_71[[#This Row],[Points]]=S$4+3,4,Week_71[[#This Row],[Points]]&gt;S$4,3,Week_71[[#This Row],[Points]]=S$4,2,Week_71[[#This Row],[Points]]&lt;S$4,"")</f>
        <v>2</v>
      </c>
      <c r="E5" s="3">
        <f>IF(ISBLANK(Week_71[[#This Row],[Player]]),"",COUNTIFS(AA:AB,3,V:W,Week_71[[#This Row],[Player]]))</f>
        <v>3</v>
      </c>
      <c r="F5" s="3">
        <f>IF(ISBLANK(Week_71[[#This Row],[Player]]),"",COUNTIFS(AA:AB,0,V:W,Week_71[[#This Row],[Player]]))</f>
        <v>1</v>
      </c>
      <c r="G5" s="3">
        <f>IF(ISBLANK(Week_71[[#This Row],[Player]]),"",COUNTIFS(AA:AB,1,V:W,Week_71[[#This Row],[Player]]))</f>
        <v>0</v>
      </c>
      <c r="H5" s="4">
        <f>IF(ISBLANK(Week_71[[#This Row],[Player]]),"",COUNTIFS(V:V,Week_71[[#This Row],[Player]],W:W,""))</f>
        <v>0</v>
      </c>
      <c r="I5" s="4">
        <f>IF(ISBLANK(Week_71[[#This Row],[Player]]),"",COUNTIF(V:W,Week_71[[#This Row],[Player]]))</f>
        <v>4</v>
      </c>
      <c r="J5" s="5" t="str">
        <f>IF(ISBLANK(Week_71[[#This Row],[Player]]),"",Week_71[[#This Row],[Win]]&amp;"-"&amp;Week_71[[#This Row],[Loss]]&amp;"-"&amp;Week_71[[#This Row],[Draw]])</f>
        <v>3-1-0</v>
      </c>
      <c r="K5" s="6" cm="1">
        <f t="array" ref="K5">IF(ISBLANK(Week_71[[#This Row],[Player]]),"",(AVERAGE(_xlfn.XLOOKUP(_xlfn.VSTACK(_xlfn._xlws.FILTER(W:W,V:V=Week_71[[#This Row],[Player]],""),_xlfn._xlws.FILTER(V:V,W:W=Week_71[[#This Row],[Player]],"")), Week_71[Player], Week_71[MW%], ""))))</f>
        <v>0.5</v>
      </c>
      <c r="L5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0.63636363636363635</v>
      </c>
      <c r="M5" s="8" cm="1">
        <f t="array" ref="M5">IF(ISBLANK(Week_71[[#This Row],[Player]]),"",(AVERAGE(_xlfn.XLOOKUP(_xlfn.VSTACK(_xlfn._xlws.FILTER(W:W,V:V=Week_71[[#This Row],[Player]],""),_xlfn._xlws.FILTER(V:V,W:W=Week_71[[#This Row],[Player]],"")), Week_71[Player], Week_71[GW%], ""))))</f>
        <v>0.52784090909090908</v>
      </c>
      <c r="N5" s="7">
        <f>IF(ISBLANK(Week_71[[#This Row],[Player]]),"",MAX((1/3),IFERROR(Week_71[[#This Row],[Points]]/(Week_71[[#This Row],[Rounds]]*3),"")))</f>
        <v>0.75</v>
      </c>
      <c r="O5"/>
      <c r="P5" s="9">
        <f>IF(Week_71[[#This Row],[Points]]&gt;=S$4,S$5*Week_71[[#This Row],[calcWin]]/SUM(Week_71[calcWin])+Week_71[[#This Row],[OMF Bonus]],IF(Week_71[[#This Row],[OMF Bonus]]&gt;0,Week_71[[#This Row],[OMF Bonus]],""))</f>
        <v>220</v>
      </c>
      <c r="Q5" s="9"/>
      <c r="R5" s="1" t="s">
        <v>41</v>
      </c>
      <c r="S5">
        <f>(S2-S7)*Entry-S6</f>
        <v>1100</v>
      </c>
      <c r="U5" t="str" cm="1">
        <f t="array" ref="U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4</v>
      </c>
      <c r="V5" s="1" t="s">
        <v>60</v>
      </c>
      <c r="W5" s="1" t="s">
        <v>61</v>
      </c>
      <c r="X5" s="1">
        <v>0</v>
      </c>
      <c r="Y5" s="1">
        <v>2</v>
      </c>
      <c r="Z5">
        <v>0</v>
      </c>
      <c r="AA5" cm="1">
        <f t="array" ref="AA5">IF(AND(V5&lt;&gt;"",W5=""),3,_xlfn.IFS(AND(X5="",Y5=""),"",X5&gt;Y5,3,X5&lt;Y5,0,X5=Y5,1))</f>
        <v>0</v>
      </c>
      <c r="AB5" s="16">
        <f t="shared" si="0"/>
        <v>3</v>
      </c>
      <c r="AC5" t="str">
        <f>IF(Week_71Games[[#This Row],[Player 2]]="","",_xlfn.XLOOKUP(Week_71Games[[#This Row],[Player 1]],Week_71[Player],Week_71[Deck]))</f>
        <v>Cloudpost</v>
      </c>
      <c r="AD5" t="str">
        <f>IF(Week_71Games[[#This Row],[Player 2]]="","",_xlfn.XLOOKUP(Week_71Games[[#This Row],[Player 2]],Week_71[Player],Week_71[Deck]))</f>
        <v>4+ Color Beans</v>
      </c>
    </row>
    <row r="6" spans="1:30" ht="14.25" customHeight="1" x14ac:dyDescent="0.3">
      <c r="A6" t="s">
        <v>62</v>
      </c>
      <c r="B6" s="1" t="s">
        <v>48</v>
      </c>
      <c r="C6" s="2">
        <f>IF(ISBLANK(Week_71[[#This Row],[Player]]),-1,SUMIF(V:V,Week_71[[#This Row],[Player]],AA:AA)+SUMIF(W:W,Week_71[[#This Row],[Player]],AB:AB))</f>
        <v>7</v>
      </c>
      <c r="D6" s="3" t="str" cm="1">
        <f t="array" ref="D6">_xlfn.IFS(Week_71[[#This Row],[Points]]=S$4+3,4,Week_71[[#This Row],[Points]]&gt;S$4,3,Week_71[[#This Row],[Points]]=S$4,2,Week_71[[#This Row],[Points]]&lt;S$4,"")</f>
        <v/>
      </c>
      <c r="E6" s="3">
        <f>IF(ISBLANK(Week_71[[#This Row],[Player]]),"",COUNTIFS(AA:AB,3,V:W,Week_71[[#This Row],[Player]]))</f>
        <v>2</v>
      </c>
      <c r="F6" s="3">
        <f>IF(ISBLANK(Week_71[[#This Row],[Player]]),"",COUNTIFS(AA:AB,0,V:W,Week_71[[#This Row],[Player]]))</f>
        <v>1</v>
      </c>
      <c r="G6" s="3">
        <f>IF(ISBLANK(Week_71[[#This Row],[Player]]),"",COUNTIFS(AA:AB,1,V:W,Week_71[[#This Row],[Player]]))</f>
        <v>1</v>
      </c>
      <c r="H6" s="4">
        <f>IF(ISBLANK(Week_71[[#This Row],[Player]]),"",COUNTIFS(V:V,Week_71[[#This Row],[Player]],W:W,""))</f>
        <v>0</v>
      </c>
      <c r="I6" s="4">
        <f>IF(ISBLANK(Week_71[[#This Row],[Player]]),"",COUNTIF(V:W,Week_71[[#This Row],[Player]]))</f>
        <v>4</v>
      </c>
      <c r="J6" s="5" t="str">
        <f>IF(ISBLANK(Week_71[[#This Row],[Player]]),"",Week_71[[#This Row],[Win]]&amp;"-"&amp;Week_71[[#This Row],[Loss]]&amp;"-"&amp;Week_71[[#This Row],[Draw]])</f>
        <v>2-1-1</v>
      </c>
      <c r="K6" s="6" cm="1">
        <f t="array" ref="K6">IF(ISBLANK(Week_71[[#This Row],[Player]]),"",(AVERAGE(_xlfn.XLOOKUP(_xlfn.VSTACK(_xlfn._xlws.FILTER(W:W,V:V=Week_71[[#This Row],[Player]],""),_xlfn._xlws.FILTER(V:V,W:W=Week_71[[#This Row],[Player]],"")), Week_71[Player], Week_71[MW%], ""))))</f>
        <v>0.5625</v>
      </c>
      <c r="L6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0.66666666666666663</v>
      </c>
      <c r="M6" s="8" cm="1">
        <f t="array" ref="M6">IF(ISBLANK(Week_71[[#This Row],[Player]]),"",(AVERAGE(_xlfn.XLOOKUP(_xlfn.VSTACK(_xlfn._xlws.FILTER(W:W,V:V=Week_71[[#This Row],[Player]],""),_xlfn._xlws.FILTER(V:V,W:W=Week_71[[#This Row],[Player]],"")), Week_71[Player], Week_71[GW%], ""))))</f>
        <v>0.49848484848484848</v>
      </c>
      <c r="N6" s="7">
        <f>IF(ISBLANK(Week_71[[#This Row],[Player]]),"",MAX((1/3),IFERROR(Week_71[[#This Row],[Points]]/(Week_71[[#This Row],[Rounds]]*3),"")))</f>
        <v>0.58333333333333337</v>
      </c>
      <c r="O6"/>
      <c r="P6" s="9" t="str">
        <f>IF(Week_71[[#This Row],[Points]]&gt;=S$4,S$5*Week_71[[#This Row],[calcWin]]/SUM(Week_71[calcWin])+Week_71[[#This Row],[OMF Bonus]],IF(Week_71[[#This Row],[OMF Bonus]]&gt;0,Week_71[[#This Row],[OMF Bonus]],""))</f>
        <v/>
      </c>
      <c r="Q6" s="9"/>
      <c r="R6" s="1" t="s">
        <v>45</v>
      </c>
      <c r="S6">
        <f>S2*Entry*SSBonus*EventCut</f>
        <v>0</v>
      </c>
      <c r="U6" t="str" cm="1">
        <f t="array" ref="U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5</v>
      </c>
      <c r="V6" s="1" t="s">
        <v>62</v>
      </c>
      <c r="W6" s="1" t="s">
        <v>42</v>
      </c>
      <c r="X6" s="1">
        <v>1</v>
      </c>
      <c r="Y6" s="1">
        <v>1</v>
      </c>
      <c r="Z6">
        <v>0</v>
      </c>
      <c r="AA6" cm="1">
        <f t="array" ref="AA6">IF(AND(V6&lt;&gt;"",W6=""),3,_xlfn.IFS(AND(X6="",Y6=""),"",X6&gt;Y6,3,X6&lt;Y6,0,X6=Y6,1))</f>
        <v>1</v>
      </c>
      <c r="AB6" s="16">
        <f t="shared" si="0"/>
        <v>1</v>
      </c>
      <c r="AC6" t="str">
        <f>IF(Week_71Games[[#This Row],[Player 2]]="","",_xlfn.XLOOKUP(Week_71Games[[#This Row],[Player 1]],Week_71[Player],Week_71[Deck]))</f>
        <v>UR Tempo</v>
      </c>
      <c r="AD6" t="str">
        <f>IF(Week_71Games[[#This Row],[Player 2]]="","",_xlfn.XLOOKUP(Week_71Games[[#This Row],[Player 2]],Week_71[Player],Week_71[Deck]))</f>
        <v>UR Tempo</v>
      </c>
    </row>
    <row r="7" spans="1:30" ht="14.25" customHeight="1" x14ac:dyDescent="0.3">
      <c r="A7" t="s">
        <v>42</v>
      </c>
      <c r="B7" s="1" t="s">
        <v>48</v>
      </c>
      <c r="C7" s="2">
        <f>IF(ISBLANK(Week_71[[#This Row],[Player]]),-1,SUMIF(V:V,Week_71[[#This Row],[Player]],AA:AA)+SUMIF(W:W,Week_71[[#This Row],[Player]],AB:AB))</f>
        <v>7</v>
      </c>
      <c r="D7" s="3" t="str" cm="1">
        <f t="array" ref="D7">_xlfn.IFS(Week_71[[#This Row],[Points]]=S$4+3,4,Week_71[[#This Row],[Points]]&gt;S$4,3,Week_71[[#This Row],[Points]]=S$4,2,Week_71[[#This Row],[Points]]&lt;S$4,"")</f>
        <v/>
      </c>
      <c r="E7" s="3">
        <f>IF(ISBLANK(Week_71[[#This Row],[Player]]),"",COUNTIFS(AA:AB,3,V:W,Week_71[[#This Row],[Player]]))</f>
        <v>2</v>
      </c>
      <c r="F7" s="3">
        <f>IF(ISBLANK(Week_71[[#This Row],[Player]]),"",COUNTIFS(AA:AB,0,V:W,Week_71[[#This Row],[Player]]))</f>
        <v>1</v>
      </c>
      <c r="G7" s="3">
        <f>IF(ISBLANK(Week_71[[#This Row],[Player]]),"",COUNTIFS(AA:AB,1,V:W,Week_71[[#This Row],[Player]]))</f>
        <v>1</v>
      </c>
      <c r="H7" s="4">
        <f>IF(ISBLANK(Week_71[[#This Row],[Player]]),"",COUNTIFS(V:V,Week_71[[#This Row],[Player]],W:W,""))</f>
        <v>0</v>
      </c>
      <c r="I7" s="4">
        <f>IF(ISBLANK(Week_71[[#This Row],[Player]]),"",COUNTIF(V:W,Week_71[[#This Row],[Player]]))</f>
        <v>4</v>
      </c>
      <c r="J7" s="5" t="str">
        <f>IF(ISBLANK(Week_71[[#This Row],[Player]]),"",Week_71[[#This Row],[Win]]&amp;"-"&amp;Week_71[[#This Row],[Loss]]&amp;"-"&amp;Week_71[[#This Row],[Draw]])</f>
        <v>2-1-1</v>
      </c>
      <c r="K7" s="6" cm="1">
        <f t="array" ref="K7">IF(ISBLANK(Week_71[[#This Row],[Player]]),"",(AVERAGE(_xlfn.XLOOKUP(_xlfn.VSTACK(_xlfn._xlws.FILTER(W:W,V:V=Week_71[[#This Row],[Player]],""),_xlfn._xlws.FILTER(V:V,W:W=Week_71[[#This Row],[Player]],"")), Week_71[Player], Week_71[MW%], ""))))</f>
        <v>0.54166666666666663</v>
      </c>
      <c r="L7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0.6</v>
      </c>
      <c r="M7" s="8" cm="1">
        <f t="array" ref="M7">IF(ISBLANK(Week_71[[#This Row],[Player]]),"",(AVERAGE(_xlfn.XLOOKUP(_xlfn.VSTACK(_xlfn._xlws.FILTER(W:W,V:V=Week_71[[#This Row],[Player]],""),_xlfn._xlws.FILTER(V:V,W:W=Week_71[[#This Row],[Player]],"")), Week_71[Player], Week_71[GW%], ""))))</f>
        <v>0.55839646464646464</v>
      </c>
      <c r="N7" s="7">
        <f>IF(ISBLANK(Week_71[[#This Row],[Player]]),"",MAX((1/3),IFERROR(Week_71[[#This Row],[Points]]/(Week_71[[#This Row],[Rounds]]*3),"")))</f>
        <v>0.58333333333333337</v>
      </c>
      <c r="O7"/>
      <c r="P7" s="9" t="str">
        <f>IF(Week_71[[#This Row],[Points]]&gt;=S$4,S$5*Week_71[[#This Row],[calcWin]]/SUM(Week_71[calcWin])+Week_71[[#This Row],[OMF Bonus]],IF(Week_71[[#This Row],[OMF Bonus]]&gt;0,Week_71[[#This Row],[OMF Bonus]],""))</f>
        <v/>
      </c>
      <c r="Q7" s="9"/>
      <c r="R7" t="s">
        <v>49</v>
      </c>
      <c r="S7">
        <v>3</v>
      </c>
      <c r="U7" t="str" cm="1">
        <f t="array" ref="U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6</v>
      </c>
      <c r="V7" s="1" t="s">
        <v>32</v>
      </c>
      <c r="W7" s="1" t="s">
        <v>39</v>
      </c>
      <c r="X7" s="1">
        <v>1</v>
      </c>
      <c r="Y7" s="1">
        <v>2</v>
      </c>
      <c r="Z7">
        <v>0</v>
      </c>
      <c r="AA7" cm="1">
        <f t="array" ref="AA7">IF(AND(V7&lt;&gt;"",W7=""),3,_xlfn.IFS(AND(X7="",Y7=""),"",X7&gt;Y7,3,X7&lt;Y7,0,X7=Y7,1))</f>
        <v>0</v>
      </c>
      <c r="AB7" s="16">
        <f t="shared" si="0"/>
        <v>3</v>
      </c>
      <c r="AC7" t="str">
        <f>IF(Week_71Games[[#This Row],[Player 2]]="","",_xlfn.XLOOKUP(Week_71Games[[#This Row],[Player 1]],Week_71[Player],Week_71[Deck]))</f>
        <v>Rx Painter</v>
      </c>
      <c r="AD7" t="str">
        <f>IF(Week_71Games[[#This Row],[Player 2]]="","",_xlfn.XLOOKUP(Week_71Games[[#This Row],[Player 2]],Week_71[Player],Week_71[Deck]))</f>
        <v>Grixis Soothsayer</v>
      </c>
    </row>
    <row r="8" spans="1:30" ht="14.25" customHeight="1" x14ac:dyDescent="0.3">
      <c r="A8" t="s">
        <v>32</v>
      </c>
      <c r="B8" s="1" t="s">
        <v>33</v>
      </c>
      <c r="C8" s="2">
        <f>IF(ISBLANK(Week_71[[#This Row],[Player]]),-1,SUMIF(V:V,Week_71[[#This Row],[Player]],AA:AA)+SUMIF(W:W,Week_71[[#This Row],[Player]],AB:AB))</f>
        <v>6</v>
      </c>
      <c r="D8" s="3" t="str" cm="1">
        <f t="array" ref="D8">_xlfn.IFS(Week_71[[#This Row],[Points]]=S$4+3,4,Week_71[[#This Row],[Points]]&gt;S$4,3,Week_71[[#This Row],[Points]]=S$4,2,Week_71[[#This Row],[Points]]&lt;S$4,"")</f>
        <v/>
      </c>
      <c r="E8" s="3">
        <f>IF(ISBLANK(Week_71[[#This Row],[Player]]),"",COUNTIFS(AA:AB,3,V:W,Week_71[[#This Row],[Player]]))</f>
        <v>2</v>
      </c>
      <c r="F8" s="3">
        <f>IF(ISBLANK(Week_71[[#This Row],[Player]]),"",COUNTIFS(AA:AB,0,V:W,Week_71[[#This Row],[Player]]))</f>
        <v>2</v>
      </c>
      <c r="G8" s="3">
        <f>IF(ISBLANK(Week_71[[#This Row],[Player]]),"",COUNTIFS(AA:AB,1,V:W,Week_71[[#This Row],[Player]]))</f>
        <v>0</v>
      </c>
      <c r="H8" s="4">
        <f>IF(ISBLANK(Week_71[[#This Row],[Player]]),"",COUNTIFS(V:V,Week_71[[#This Row],[Player]],W:W,""))</f>
        <v>0</v>
      </c>
      <c r="I8" s="4">
        <f>IF(ISBLANK(Week_71[[#This Row],[Player]]),"",COUNTIF(V:W,Week_71[[#This Row],[Player]]))</f>
        <v>4</v>
      </c>
      <c r="J8" s="5" t="str">
        <f>IF(ISBLANK(Week_71[[#This Row],[Player]]),"",Week_71[[#This Row],[Win]]&amp;"-"&amp;Week_71[[#This Row],[Loss]]&amp;"-"&amp;Week_71[[#This Row],[Draw]])</f>
        <v>2-2-0</v>
      </c>
      <c r="K8" s="6" cm="1">
        <f t="array" ref="K8">IF(ISBLANK(Week_71[[#This Row],[Player]]),"",(AVERAGE(_xlfn.XLOOKUP(_xlfn.VSTACK(_xlfn._xlws.FILTER(W:W,V:V=Week_71[[#This Row],[Player]],""),_xlfn._xlws.FILTER(V:V,W:W=Week_71[[#This Row],[Player]],"")), Week_71[Player], Week_71[MW%], ""))))</f>
        <v>0.54166666666666663</v>
      </c>
      <c r="L8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0.45454545454545453</v>
      </c>
      <c r="M8" s="8" cm="1">
        <f t="array" ref="M8">IF(ISBLANK(Week_71[[#This Row],[Player]]),"",(AVERAGE(_xlfn.XLOOKUP(_xlfn.VSTACK(_xlfn._xlws.FILTER(W:W,V:V=Week_71[[#This Row],[Player]],""),_xlfn._xlws.FILTER(V:V,W:W=Week_71[[#This Row],[Player]],"")), Week_71[Player], Week_71[GW%], ""))))</f>
        <v>0.55075757575757567</v>
      </c>
      <c r="N8" s="7">
        <f>IF(ISBLANK(Week_71[[#This Row],[Player]]),"",MAX((1/3),IFERROR(Week_71[[#This Row],[Points]]/(Week_71[[#This Row],[Rounds]]*3),"")))</f>
        <v>0.5</v>
      </c>
      <c r="O8"/>
      <c r="P8" s="9" t="str">
        <f>IF(Week_71[[#This Row],[Points]]&gt;=S$4,S$5*Week_71[[#This Row],[calcWin]]/SUM(Week_71[calcWin])+Week_71[[#This Row],[OMF Bonus]],IF(Week_71[[#This Row],[OMF Bonus]]&gt;0,Week_71[[#This Row],[OMF Bonus]],""))</f>
        <v/>
      </c>
      <c r="Q8" s="9"/>
      <c r="R8" s="18"/>
      <c r="U8" t="str" cm="1">
        <f t="array" ref="U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7</v>
      </c>
      <c r="V8" t="s">
        <v>46</v>
      </c>
      <c r="W8" t="s">
        <v>63</v>
      </c>
      <c r="X8">
        <v>2</v>
      </c>
      <c r="Y8">
        <v>0</v>
      </c>
      <c r="Z8">
        <v>0</v>
      </c>
      <c r="AA8" cm="1">
        <f t="array" ref="AA8">IF(AND(V8&lt;&gt;"",W8=""),3,_xlfn.IFS(AND(X8="",Y8=""),"",X8&gt;Y8,3,X8&lt;Y8,0,X8=Y8,1))</f>
        <v>3</v>
      </c>
      <c r="AB8" s="16">
        <f t="shared" si="0"/>
        <v>0</v>
      </c>
      <c r="AC8" t="str">
        <f>IF(Week_71Games[[#This Row],[Player 2]]="","",_xlfn.XLOOKUP(Week_71Games[[#This Row],[Player 1]],Week_71[Player],Week_71[Deck]))</f>
        <v>Moon Stompy</v>
      </c>
      <c r="AD8" t="str">
        <f>IF(Week_71Games[[#This Row],[Player 2]]="","",_xlfn.XLOOKUP(Week_71Games[[#This Row],[Player 2]],Week_71[Player],Week_71[Deck]))</f>
        <v>Doomsday</v>
      </c>
    </row>
    <row r="9" spans="1:30" ht="14.25" customHeight="1" x14ac:dyDescent="0.3">
      <c r="A9" t="s">
        <v>56</v>
      </c>
      <c r="B9" s="1" t="s">
        <v>64</v>
      </c>
      <c r="C9" s="2">
        <f>IF(ISBLANK(Week_71[[#This Row],[Player]]),-1,SUMIF(V:V,Week_71[[#This Row],[Player]],AA:AA)+SUMIF(W:W,Week_71[[#This Row],[Player]],AB:AB))</f>
        <v>6</v>
      </c>
      <c r="D9" s="3" t="str" cm="1">
        <f t="array" ref="D9">_xlfn.IFS(Week_71[[#This Row],[Points]]=S$4+3,4,Week_71[[#This Row],[Points]]&gt;S$4,3,Week_71[[#This Row],[Points]]=S$4,2,Week_71[[#This Row],[Points]]&lt;S$4,"")</f>
        <v/>
      </c>
      <c r="E9" s="3">
        <f>IF(ISBLANK(Week_71[[#This Row],[Player]]),"",COUNTIFS(AA:AB,3,V:W,Week_71[[#This Row],[Player]]))</f>
        <v>2</v>
      </c>
      <c r="F9" s="3">
        <f>IF(ISBLANK(Week_71[[#This Row],[Player]]),"",COUNTIFS(AA:AB,0,V:W,Week_71[[#This Row],[Player]]))</f>
        <v>2</v>
      </c>
      <c r="G9" s="3">
        <f>IF(ISBLANK(Week_71[[#This Row],[Player]]),"",COUNTIFS(AA:AB,1,V:W,Week_71[[#This Row],[Player]]))</f>
        <v>0</v>
      </c>
      <c r="H9" s="4">
        <f>IF(ISBLANK(Week_71[[#This Row],[Player]]),"",COUNTIFS(V:V,Week_71[[#This Row],[Player]],W:W,""))</f>
        <v>0</v>
      </c>
      <c r="I9" s="4">
        <f>IF(ISBLANK(Week_71[[#This Row],[Player]]),"",COUNTIF(V:W,Week_71[[#This Row],[Player]]))</f>
        <v>4</v>
      </c>
      <c r="J9" s="5" t="str">
        <f>IF(ISBLANK(Week_71[[#This Row],[Player]]),"",Week_71[[#This Row],[Win]]&amp;"-"&amp;Week_71[[#This Row],[Loss]]&amp;"-"&amp;Week_71[[#This Row],[Draw]])</f>
        <v>2-2-0</v>
      </c>
      <c r="K9" s="6" cm="1">
        <f t="array" ref="K9">IF(ISBLANK(Week_71[[#This Row],[Player]]),"",(AVERAGE(_xlfn.XLOOKUP(_xlfn.VSTACK(_xlfn._xlws.FILTER(W:W,V:V=Week_71[[#This Row],[Player]],""),_xlfn._xlws.FILTER(V:V,W:W=Week_71[[#This Row],[Player]],"")), Week_71[Player], Week_71[MW%], ""))))</f>
        <v>0.39583333333333337</v>
      </c>
      <c r="L9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0.55555555555555558</v>
      </c>
      <c r="M9" s="8" cm="1">
        <f t="array" ref="M9">IF(ISBLANK(Week_71[[#This Row],[Player]]),"",(AVERAGE(_xlfn.XLOOKUP(_xlfn.VSTACK(_xlfn._xlws.FILTER(W:W,V:V=Week_71[[#This Row],[Player]],""),_xlfn._xlws.FILTER(V:V,W:W=Week_71[[#This Row],[Player]],"")), Week_71[Player], Week_71[GW%], ""))))</f>
        <v>0.45833333333333337</v>
      </c>
      <c r="N9" s="7">
        <f>IF(ISBLANK(Week_71[[#This Row],[Player]]),"",MAX((1/3),IFERROR(Week_71[[#This Row],[Points]]/(Week_71[[#This Row],[Rounds]]*3),"")))</f>
        <v>0.5</v>
      </c>
      <c r="O9"/>
      <c r="P9" s="9" t="str">
        <f>IF(Week_71[[#This Row],[Points]]&gt;=S$4,S$5*Week_71[[#This Row],[calcWin]]/SUM(Week_71[calcWin])+Week_71[[#This Row],[OMF Bonus]],IF(Week_71[[#This Row],[OMF Bonus]]&gt;0,Week_71[[#This Row],[OMF Bonus]],""))</f>
        <v/>
      </c>
      <c r="Q9" s="9"/>
      <c r="U9" t="str" cm="1">
        <f t="array" ref="U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Round 2</v>
      </c>
      <c r="AA9" t="str" cm="1">
        <f t="array" ref="AA9">IF(AND(V9&lt;&gt;"",W9=""),3,_xlfn.IFS(AND(X9="",Y9=""),"",X9&gt;Y9,3,X9&lt;Y9,0,X9=Y9,1))</f>
        <v/>
      </c>
      <c r="AB9" s="16" t="str">
        <f t="shared" si="0"/>
        <v/>
      </c>
      <c r="AC9" t="str">
        <f>IF(Week_71Games[[#This Row],[Player 2]]="","",_xlfn.XLOOKUP(Week_71Games[[#This Row],[Player 1]],Week_71[Player],Week_71[Deck]))</f>
        <v/>
      </c>
      <c r="AD9" t="str">
        <f>IF(Week_71Games[[#This Row],[Player 2]]="","",_xlfn.XLOOKUP(Week_71Games[[#This Row],[Player 2]],Week_71[Player],Week_71[Deck]))</f>
        <v/>
      </c>
    </row>
    <row r="10" spans="1:30" ht="14.25" customHeight="1" x14ac:dyDescent="0.3">
      <c r="A10" t="s">
        <v>31</v>
      </c>
      <c r="B10" s="1" t="s">
        <v>53</v>
      </c>
      <c r="C10" s="2">
        <f>IF(ISBLANK(Week_71[[#This Row],[Player]]),-1,SUMIF(V:V,Week_71[[#This Row],[Player]],AA:AA)+SUMIF(W:W,Week_71[[#This Row],[Player]],AB:AB))</f>
        <v>4</v>
      </c>
      <c r="D10" s="3" t="str" cm="1">
        <f t="array" ref="D10">_xlfn.IFS(Week_71[[#This Row],[Points]]=S$4+3,4,Week_71[[#This Row],[Points]]&gt;S$4,3,Week_71[[#This Row],[Points]]=S$4,2,Week_71[[#This Row],[Points]]&lt;S$4,"")</f>
        <v/>
      </c>
      <c r="E10" s="3">
        <f>IF(ISBLANK(Week_71[[#This Row],[Player]]),"",COUNTIFS(AA:AB,3,V:W,Week_71[[#This Row],[Player]]))</f>
        <v>1</v>
      </c>
      <c r="F10" s="3">
        <f>IF(ISBLANK(Week_71[[#This Row],[Player]]),"",COUNTIFS(AA:AB,0,V:W,Week_71[[#This Row],[Player]]))</f>
        <v>2</v>
      </c>
      <c r="G10" s="3">
        <f>IF(ISBLANK(Week_71[[#This Row],[Player]]),"",COUNTIFS(AA:AB,1,V:W,Week_71[[#This Row],[Player]]))</f>
        <v>1</v>
      </c>
      <c r="H10" s="4">
        <f>IF(ISBLANK(Week_71[[#This Row],[Player]]),"",COUNTIFS(V:V,Week_71[[#This Row],[Player]],W:W,""))</f>
        <v>0</v>
      </c>
      <c r="I10" s="4">
        <f>IF(ISBLANK(Week_71[[#This Row],[Player]]),"",COUNTIF(V:W,Week_71[[#This Row],[Player]]))</f>
        <v>4</v>
      </c>
      <c r="J10" s="5" t="str">
        <f>IF(ISBLANK(Week_71[[#This Row],[Player]]),"",Week_71[[#This Row],[Win]]&amp;"-"&amp;Week_71[[#This Row],[Loss]]&amp;"-"&amp;Week_71[[#This Row],[Draw]])</f>
        <v>1-2-1</v>
      </c>
      <c r="K10" s="6" cm="1">
        <f t="array" ref="K10">IF(ISBLANK(Week_71[[#This Row],[Player]]),"",(AVERAGE(_xlfn.XLOOKUP(_xlfn.VSTACK(_xlfn._xlws.FILTER(W:W,V:V=Week_71[[#This Row],[Player]],""),_xlfn._xlws.FILTER(V:V,W:W=Week_71[[#This Row],[Player]],"")), Week_71[Player], Week_71[MW%], ""))))</f>
        <v>0.52083333333333337</v>
      </c>
      <c r="L10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0.5</v>
      </c>
      <c r="M10" s="8" cm="1">
        <f t="array" ref="M10">IF(ISBLANK(Week_71[[#This Row],[Player]]),"",(AVERAGE(_xlfn.XLOOKUP(_xlfn.VSTACK(_xlfn._xlws.FILTER(W:W,V:V=Week_71[[#This Row],[Player]],""),_xlfn._xlws.FILTER(V:V,W:W=Week_71[[#This Row],[Player]],"")), Week_71[Player], Week_71[GW%], ""))))</f>
        <v>0.50536616161616166</v>
      </c>
      <c r="N10" s="7">
        <f>IF(ISBLANK(Week_71[[#This Row],[Player]]),"",MAX((1/3),IFERROR(Week_71[[#This Row],[Points]]/(Week_71[[#This Row],[Rounds]]*3),"")))</f>
        <v>0.33333333333333331</v>
      </c>
      <c r="O10"/>
      <c r="P10" s="9" t="str">
        <f>IF(Week_71[[#This Row],[Points]]&gt;=S$4,S$5*Week_71[[#This Row],[calcWin]]/SUM(Week_71[calcWin])+Week_71[[#This Row],[OMF Bonus]],IF(Week_71[[#This Row],[OMF Bonus]]&gt;0,Week_71[[#This Row],[OMF Bonus]],""))</f>
        <v/>
      </c>
      <c r="Q10" s="9"/>
      <c r="U10" t="str" cm="1">
        <f t="array" ref="U1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1</v>
      </c>
      <c r="V10" t="s">
        <v>61</v>
      </c>
      <c r="W10" t="s">
        <v>39</v>
      </c>
      <c r="X10">
        <v>0</v>
      </c>
      <c r="Y10">
        <v>2</v>
      </c>
      <c r="Z10">
        <v>0</v>
      </c>
      <c r="AA10" cm="1">
        <f t="array" ref="AA10">IF(AND(V10&lt;&gt;"",W10=""),3,_xlfn.IFS(AND(X10="",Y10=""),"",X10&gt;Y10,3,X10&lt;Y10,0,X10=Y10,1))</f>
        <v>0</v>
      </c>
      <c r="AB10" s="16">
        <f t="shared" si="0"/>
        <v>3</v>
      </c>
      <c r="AC10" t="str">
        <f>IF(Week_71Games[[#This Row],[Player 2]]="","",_xlfn.XLOOKUP(Week_71Games[[#This Row],[Player 1]],Week_71[Player],Week_71[Deck]))</f>
        <v>4+ Color Beans</v>
      </c>
      <c r="AD10" t="str">
        <f>IF(Week_71Games[[#This Row],[Player 2]]="","",_xlfn.XLOOKUP(Week_71Games[[#This Row],[Player 2]],Week_71[Player],Week_71[Deck]))</f>
        <v>Grixis Soothsayer</v>
      </c>
    </row>
    <row r="11" spans="1:30" ht="14.25" customHeight="1" x14ac:dyDescent="0.3">
      <c r="A11" t="s">
        <v>63</v>
      </c>
      <c r="B11" s="1" t="s">
        <v>65</v>
      </c>
      <c r="C11" s="2">
        <f>IF(ISBLANK(Week_71[[#This Row],[Player]]),-1,SUMIF(V:V,Week_71[[#This Row],[Player]],AA:AA)+SUMIF(W:W,Week_71[[#This Row],[Player]],AB:AB))</f>
        <v>4</v>
      </c>
      <c r="D11" s="3" t="str" cm="1">
        <f t="array" ref="D11">_xlfn.IFS(Week_71[[#This Row],[Points]]=S$4+3,4,Week_71[[#This Row],[Points]]&gt;S$4,3,Week_71[[#This Row],[Points]]=S$4,2,Week_71[[#This Row],[Points]]&lt;S$4,"")</f>
        <v/>
      </c>
      <c r="E11" s="3">
        <f>IF(ISBLANK(Week_71[[#This Row],[Player]]),"",COUNTIFS(AA:AB,3,V:W,Week_71[[#This Row],[Player]]))</f>
        <v>1</v>
      </c>
      <c r="F11" s="3">
        <f>IF(ISBLANK(Week_71[[#This Row],[Player]]),"",COUNTIFS(AA:AB,0,V:W,Week_71[[#This Row],[Player]]))</f>
        <v>2</v>
      </c>
      <c r="G11" s="3">
        <f>IF(ISBLANK(Week_71[[#This Row],[Player]]),"",COUNTIFS(AA:AB,1,V:W,Week_71[[#This Row],[Player]]))</f>
        <v>1</v>
      </c>
      <c r="H11" s="4">
        <f>IF(ISBLANK(Week_71[[#This Row],[Player]]),"",COUNTIFS(V:V,Week_71[[#This Row],[Player]],W:W,""))</f>
        <v>0</v>
      </c>
      <c r="I11" s="4">
        <f>IF(ISBLANK(Week_71[[#This Row],[Player]]),"",COUNTIF(V:W,Week_71[[#This Row],[Player]]))</f>
        <v>4</v>
      </c>
      <c r="J11" s="5" t="str">
        <f>IF(ISBLANK(Week_71[[#This Row],[Player]]),"",Week_71[[#This Row],[Win]]&amp;"-"&amp;Week_71[[#This Row],[Loss]]&amp;"-"&amp;Week_71[[#This Row],[Draw]])</f>
        <v>1-2-1</v>
      </c>
      <c r="K11" s="6" cm="1">
        <f t="array" ref="K11">IF(ISBLANK(Week_71[[#This Row],[Player]]),"",(AVERAGE(_xlfn.XLOOKUP(_xlfn.VSTACK(_xlfn._xlws.FILTER(W:W,V:V=Week_71[[#This Row],[Player]],""),_xlfn._xlws.FILTER(V:V,W:W=Week_71[[#This Row],[Player]],"")), Week_71[Player], Week_71[MW%], ""))))</f>
        <v>0.5</v>
      </c>
      <c r="L11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0.375</v>
      </c>
      <c r="M11" s="8" cm="1">
        <f t="array" ref="M11">IF(ISBLANK(Week_71[[#This Row],[Player]]),"",(AVERAGE(_xlfn.XLOOKUP(_xlfn.VSTACK(_xlfn._xlws.FILTER(W:W,V:V=Week_71[[#This Row],[Player]],""),_xlfn._xlws.FILTER(V:V,W:W=Week_71[[#This Row],[Player]],"")), Week_71[Player], Week_71[GW%], ""))))</f>
        <v>0.51742424242424245</v>
      </c>
      <c r="N11" s="7">
        <f>IF(ISBLANK(Week_71[[#This Row],[Player]]),"",MAX((1/3),IFERROR(Week_71[[#This Row],[Points]]/(Week_71[[#This Row],[Rounds]]*3),"")))</f>
        <v>0.33333333333333331</v>
      </c>
      <c r="O11"/>
      <c r="P11" s="9" t="str">
        <f>IF(Week_71[[#This Row],[Points]]&gt;=S$4,S$5*Week_71[[#This Row],[calcWin]]/SUM(Week_71[calcWin])+Week_71[[#This Row],[OMF Bonus]],IF(Week_71[[#This Row],[OMF Bonus]]&gt;0,Week_71[[#This Row],[OMF Bonus]],""))</f>
        <v/>
      </c>
      <c r="Q11" s="9"/>
      <c r="U11" t="str" cm="1">
        <f t="array" ref="U1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2</v>
      </c>
      <c r="V11" t="s">
        <v>43</v>
      </c>
      <c r="W11" t="s">
        <v>35</v>
      </c>
      <c r="X11">
        <v>0</v>
      </c>
      <c r="Y11">
        <v>2</v>
      </c>
      <c r="Z11">
        <v>0</v>
      </c>
      <c r="AA11" cm="1">
        <f t="array" ref="AA11">IF(AND(V11&lt;&gt;"",W11=""),3,_xlfn.IFS(AND(X11="",Y11=""),"",X11&gt;Y11,3,X11&lt;Y11,0,X11=Y11,1))</f>
        <v>0</v>
      </c>
      <c r="AB11" s="16">
        <f t="shared" si="0"/>
        <v>3</v>
      </c>
      <c r="AC11" t="str">
        <f>IF(Week_71Games[[#This Row],[Player 2]]="","",_xlfn.XLOOKUP(Week_71Games[[#This Row],[Player 1]],Week_71[Player],Week_71[Deck]))</f>
        <v>BUG Beans</v>
      </c>
      <c r="AD11" t="str">
        <f>IF(Week_71Games[[#This Row],[Player 2]]="","",_xlfn.XLOOKUP(Week_71Games[[#This Row],[Player 2]],Week_71[Player],Week_71[Deck]))</f>
        <v>Mono B Reanimator</v>
      </c>
    </row>
    <row r="12" spans="1:30" ht="14.25" customHeight="1" x14ac:dyDescent="0.3">
      <c r="A12" t="s">
        <v>58</v>
      </c>
      <c r="B12" s="1" t="s">
        <v>54</v>
      </c>
      <c r="C12" s="2">
        <f>IF(ISBLANK(Week_71[[#This Row],[Player]]),-1,SUMIF(V:V,Week_71[[#This Row],[Player]],AA:AA)+SUMIF(W:W,Week_71[[#This Row],[Player]],AB:AB))</f>
        <v>3</v>
      </c>
      <c r="D12" s="3" t="str" cm="1">
        <f t="array" ref="D12">_xlfn.IFS(Week_71[[#This Row],[Points]]=S$4+3,4,Week_71[[#This Row],[Points]]&gt;S$4,3,Week_71[[#This Row],[Points]]=S$4,2,Week_71[[#This Row],[Points]]&lt;S$4,"")</f>
        <v/>
      </c>
      <c r="E12" s="3">
        <f>IF(ISBLANK(Week_71[[#This Row],[Player]]),"",COUNTIFS(AA:AB,3,V:W,Week_71[[#This Row],[Player]]))</f>
        <v>1</v>
      </c>
      <c r="F12" s="3">
        <f>IF(ISBLANK(Week_71[[#This Row],[Player]]),"",COUNTIFS(AA:AB,0,V:W,Week_71[[#This Row],[Player]]))</f>
        <v>3</v>
      </c>
      <c r="G12" s="3">
        <f>IF(ISBLANK(Week_71[[#This Row],[Player]]),"",COUNTIFS(AA:AB,1,V:W,Week_71[[#This Row],[Player]]))</f>
        <v>0</v>
      </c>
      <c r="H12" s="4">
        <f>IF(ISBLANK(Week_71[[#This Row],[Player]]),"",COUNTIFS(V:V,Week_71[[#This Row],[Player]],W:W,""))</f>
        <v>1</v>
      </c>
      <c r="I12" s="4">
        <f>IF(ISBLANK(Week_71[[#This Row],[Player]]),"",COUNTIF(V:W,Week_71[[#This Row],[Player]]))</f>
        <v>4</v>
      </c>
      <c r="J12" s="5" t="str">
        <f>IF(ISBLANK(Week_71[[#This Row],[Player]]),"",Week_71[[#This Row],[Win]]&amp;"-"&amp;Week_71[[#This Row],[Loss]]&amp;"-"&amp;Week_71[[#This Row],[Draw]])</f>
        <v>1-3-0</v>
      </c>
      <c r="K12" s="6" cm="1">
        <f t="array" ref="K12">IF(ISBLANK(Week_71[[#This Row],[Player]]),"",(AVERAGE(_xlfn.XLOOKUP(_xlfn.VSTACK(_xlfn._xlws.FILTER(W:W,V:V=Week_71[[#This Row],[Player]],""),_xlfn._xlws.FILTER(V:V,W:W=Week_71[[#This Row],[Player]],"")), Week_71[Player], Week_71[MW%], ""))))</f>
        <v>0.66666666666666663</v>
      </c>
      <c r="L12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0.4</v>
      </c>
      <c r="M12" s="8" cm="1">
        <f t="array" ref="M12">IF(ISBLANK(Week_71[[#This Row],[Player]]),"",(AVERAGE(_xlfn.XLOOKUP(_xlfn.VSTACK(_xlfn._xlws.FILTER(W:W,V:V=Week_71[[#This Row],[Player]],""),_xlfn._xlws.FILTER(V:V,W:W=Week_71[[#This Row],[Player]],"")), Week_71[Player], Week_71[GW%], ""))))</f>
        <v>0.57912457912457915</v>
      </c>
      <c r="N12" s="7">
        <f>IF(ISBLANK(Week_71[[#This Row],[Player]]),"",MAX((1/3),IFERROR(Week_71[[#This Row],[Points]]/(Week_71[[#This Row],[Rounds]]*3),"")))</f>
        <v>0.33333333333333331</v>
      </c>
      <c r="O12"/>
      <c r="P12" s="9" t="str">
        <f>IF(Week_71[[#This Row],[Points]]&gt;=S$4,S$5*Week_71[[#This Row],[calcWin]]/SUM(Week_71[calcWin])+Week_71[[#This Row],[OMF Bonus]],IF(Week_71[[#This Row],[OMF Bonus]]&gt;0,Week_71[[#This Row],[OMF Bonus]],""))</f>
        <v/>
      </c>
      <c r="Q12"/>
      <c r="U12" t="str" cm="1">
        <f t="array" ref="U1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3</v>
      </c>
      <c r="V12" t="s">
        <v>46</v>
      </c>
      <c r="W12" t="s">
        <v>31</v>
      </c>
      <c r="X12">
        <v>2</v>
      </c>
      <c r="Y12">
        <v>1</v>
      </c>
      <c r="Z12">
        <v>0</v>
      </c>
      <c r="AA12" cm="1">
        <f t="array" ref="AA12">IF(AND(V12&lt;&gt;"",W12=""),3,_xlfn.IFS(AND(X12="",Y12=""),"",X12&gt;Y12,3,X12&lt;Y12,0,X12=Y12,1))</f>
        <v>3</v>
      </c>
      <c r="AB12" s="16">
        <f t="shared" si="0"/>
        <v>0</v>
      </c>
      <c r="AC12" t="str">
        <f>IF(Week_71Games[[#This Row],[Player 2]]="","",_xlfn.XLOOKUP(Week_71Games[[#This Row],[Player 1]],Week_71[Player],Week_71[Deck]))</f>
        <v>Moon Stompy</v>
      </c>
      <c r="AD12" t="str">
        <f>IF(Week_71Games[[#This Row],[Player 2]]="","",_xlfn.XLOOKUP(Week_71Games[[#This Row],[Player 2]],Week_71[Player],Week_71[Deck]))</f>
        <v>Nazu Wizards</v>
      </c>
    </row>
    <row r="13" spans="1:30" ht="14.25" customHeight="1" x14ac:dyDescent="0.3">
      <c r="A13" t="s">
        <v>61</v>
      </c>
      <c r="B13" s="1" t="s">
        <v>66</v>
      </c>
      <c r="C13" s="2">
        <f>IF(ISBLANK(Week_71[[#This Row],[Player]]),-1,SUMIF(V:V,Week_71[[#This Row],[Player]],AA:AA)+SUMIF(W:W,Week_71[[#This Row],[Player]],AB:AB))</f>
        <v>3</v>
      </c>
      <c r="D13" s="3" t="str" cm="1">
        <f t="array" ref="D13">_xlfn.IFS(Week_71[[#This Row],[Points]]=S$4+3,4,Week_71[[#This Row],[Points]]&gt;S$4,3,Week_71[[#This Row],[Points]]=S$4,2,Week_71[[#This Row],[Points]]&lt;S$4,"")</f>
        <v/>
      </c>
      <c r="E13" s="3">
        <f>IF(ISBLANK(Week_71[[#This Row],[Player]]),"",COUNTIFS(AA:AB,3,V:W,Week_71[[#This Row],[Player]]))</f>
        <v>1</v>
      </c>
      <c r="F13" s="3">
        <f>IF(ISBLANK(Week_71[[#This Row],[Player]]),"",COUNTIFS(AA:AB,0,V:W,Week_71[[#This Row],[Player]]))</f>
        <v>3</v>
      </c>
      <c r="G13" s="3">
        <f>IF(ISBLANK(Week_71[[#This Row],[Player]]),"",COUNTIFS(AA:AB,1,V:W,Week_71[[#This Row],[Player]]))</f>
        <v>0</v>
      </c>
      <c r="H13" s="4">
        <f>IF(ISBLANK(Week_71[[#This Row],[Player]]),"",COUNTIFS(V:V,Week_71[[#This Row],[Player]],W:W,""))</f>
        <v>0</v>
      </c>
      <c r="I13" s="4">
        <f>IF(ISBLANK(Week_71[[#This Row],[Player]]),"",COUNTIF(V:W,Week_71[[#This Row],[Player]]))</f>
        <v>4</v>
      </c>
      <c r="J13" s="5" t="str">
        <f>IF(ISBLANK(Week_71[[#This Row],[Player]]),"",Week_71[[#This Row],[Win]]&amp;"-"&amp;Week_71[[#This Row],[Loss]]&amp;"-"&amp;Week_71[[#This Row],[Draw]])</f>
        <v>1-3-0</v>
      </c>
      <c r="K13" s="6" cm="1">
        <f t="array" ref="K13">IF(ISBLANK(Week_71[[#This Row],[Player]]),"",(AVERAGE(_xlfn.XLOOKUP(_xlfn.VSTACK(_xlfn._xlws.FILTER(W:W,V:V=Week_71[[#This Row],[Player]],""),_xlfn._xlws.FILTER(V:V,W:W=Week_71[[#This Row],[Player]],"")), Week_71[Player], Week_71[MW%], ""))))</f>
        <v>0.60416666666666663</v>
      </c>
      <c r="L13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0.33333333333333331</v>
      </c>
      <c r="M13" s="8" cm="1">
        <f t="array" ref="M13">IF(ISBLANK(Week_71[[#This Row],[Player]]),"",(AVERAGE(_xlfn.XLOOKUP(_xlfn.VSTACK(_xlfn._xlws.FILTER(W:W,V:V=Week_71[[#This Row],[Player]],""),_xlfn._xlws.FILTER(V:V,W:W=Week_71[[#This Row],[Player]],"")), Week_71[Player], Week_71[GW%], ""))))</f>
        <v>0.57575757575757569</v>
      </c>
      <c r="N13" s="7">
        <f>IF(ISBLANK(Week_71[[#This Row],[Player]]),"",MAX((1/3),IFERROR(Week_71[[#This Row],[Points]]/(Week_71[[#This Row],[Rounds]]*3),"")))</f>
        <v>0.33333333333333331</v>
      </c>
      <c r="O13"/>
      <c r="P13" s="9" t="str">
        <f>IF(Week_71[[#This Row],[Points]]&gt;=S$4,S$5*Week_71[[#This Row],[calcWin]]/SUM(Week_71[calcWin])+Week_71[[#This Row],[OMF Bonus]],IF(Week_71[[#This Row],[OMF Bonus]]&gt;0,Week_71[[#This Row],[OMF Bonus]],""))</f>
        <v/>
      </c>
      <c r="Q13"/>
      <c r="U13" t="str" cm="1">
        <f t="array" ref="U1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4</v>
      </c>
      <c r="V13" t="s">
        <v>42</v>
      </c>
      <c r="W13" t="s">
        <v>56</v>
      </c>
      <c r="X13">
        <v>2</v>
      </c>
      <c r="Y13">
        <v>1</v>
      </c>
      <c r="Z13">
        <v>0</v>
      </c>
      <c r="AA13" cm="1">
        <f t="array" ref="AA13">IF(AND(V13&lt;&gt;"",W13=""),3,_xlfn.IFS(AND(X13="",Y13=""),"",X13&gt;Y13,3,X13&lt;Y13,0,X13=Y13,1))</f>
        <v>3</v>
      </c>
      <c r="AB13" s="16">
        <f t="shared" si="0"/>
        <v>0</v>
      </c>
      <c r="AC13" t="str">
        <f>IF(Week_71Games[[#This Row],[Player 2]]="","",_xlfn.XLOOKUP(Week_71Games[[#This Row],[Player 1]],Week_71[Player],Week_71[Deck]))</f>
        <v>UR Tempo</v>
      </c>
      <c r="AD13" t="str">
        <f>IF(Week_71Games[[#This Row],[Player 2]]="","",_xlfn.XLOOKUP(Week_71Games[[#This Row],[Player 2]],Week_71[Player],Week_71[Deck]))</f>
        <v>Sneak and Show</v>
      </c>
    </row>
    <row r="14" spans="1:30" ht="14.25" customHeight="1" x14ac:dyDescent="0.3">
      <c r="A14" t="s">
        <v>60</v>
      </c>
      <c r="B14" s="1" t="s">
        <v>54</v>
      </c>
      <c r="C14" s="2">
        <f>IF(ISBLANK(Week_71[[#This Row],[Player]]),-1,SUMIF(V:V,Week_71[[#This Row],[Player]],AA:AA)+SUMIF(W:W,Week_71[[#This Row],[Player]],AB:AB))</f>
        <v>3</v>
      </c>
      <c r="D14" s="3" t="str" cm="1">
        <f t="array" ref="D14">_xlfn.IFS(Week_71[[#This Row],[Points]]=S$4+3,4,Week_71[[#This Row],[Points]]&gt;S$4,3,Week_71[[#This Row],[Points]]=S$4,2,Week_71[[#This Row],[Points]]&lt;S$4,"")</f>
        <v/>
      </c>
      <c r="E14" s="3">
        <f>IF(ISBLANK(Week_71[[#This Row],[Player]]),"",COUNTIFS(AA:AB,3,V:W,Week_71[[#This Row],[Player]]))</f>
        <v>1</v>
      </c>
      <c r="F14" s="3">
        <f>IF(ISBLANK(Week_71[[#This Row],[Player]]),"",COUNTIFS(AA:AB,0,V:W,Week_71[[#This Row],[Player]]))</f>
        <v>3</v>
      </c>
      <c r="G14" s="3">
        <f>IF(ISBLANK(Week_71[[#This Row],[Player]]),"",COUNTIFS(AA:AB,1,V:W,Week_71[[#This Row],[Player]]))</f>
        <v>0</v>
      </c>
      <c r="H14" s="4">
        <f>IF(ISBLANK(Week_71[[#This Row],[Player]]),"",COUNTIFS(V:V,Week_71[[#This Row],[Player]],W:W,""))</f>
        <v>1</v>
      </c>
      <c r="I14" s="4">
        <f>IF(ISBLANK(Week_71[[#This Row],[Player]]),"",COUNTIF(V:W,Week_71[[#This Row],[Player]]))</f>
        <v>4</v>
      </c>
      <c r="J14" s="5" t="str">
        <f>IF(ISBLANK(Week_71[[#This Row],[Player]]),"",Week_71[[#This Row],[Win]]&amp;"-"&amp;Week_71[[#This Row],[Loss]]&amp;"-"&amp;Week_71[[#This Row],[Draw]])</f>
        <v>1-3-0</v>
      </c>
      <c r="K14" s="6" cm="1">
        <f t="array" ref="K14">IF(ISBLANK(Week_71[[#This Row],[Player]]),"",(AVERAGE(_xlfn.XLOOKUP(_xlfn.VSTACK(_xlfn._xlws.FILTER(W:W,V:V=Week_71[[#This Row],[Player]],""),_xlfn._xlws.FILTER(V:V,W:W=Week_71[[#This Row],[Player]],"")), Week_71[Player], Week_71[MW%], ""))))</f>
        <v>0.38888888888888884</v>
      </c>
      <c r="L14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0.33333333333333331</v>
      </c>
      <c r="M14" s="8" cm="1">
        <f t="array" ref="M14">IF(ISBLANK(Week_71[[#This Row],[Player]]),"",(AVERAGE(_xlfn.XLOOKUP(_xlfn.VSTACK(_xlfn._xlws.FILTER(W:W,V:V=Week_71[[#This Row],[Player]],""),_xlfn._xlws.FILTER(V:V,W:W=Week_71[[#This Row],[Player]],"")), Week_71[Player], Week_71[GW%], ""))))</f>
        <v>0.42129629629629628</v>
      </c>
      <c r="N14" s="7">
        <f>IF(ISBLANK(Week_71[[#This Row],[Player]]),"",MAX((1/3),IFERROR(Week_71[[#This Row],[Points]]/(Week_71[[#This Row],[Rounds]]*3),"")))</f>
        <v>0.33333333333333331</v>
      </c>
      <c r="O14"/>
      <c r="P14" s="9" t="str">
        <f>IF(Week_71[[#This Row],[Points]]&gt;=S$4,S$5*Week_71[[#This Row],[calcWin]]/SUM(Week_71[calcWin])+Week_71[[#This Row],[OMF Bonus]],IF(Week_71[[#This Row],[OMF Bonus]]&gt;0,Week_71[[#This Row],[OMF Bonus]],""))</f>
        <v/>
      </c>
      <c r="Q14"/>
      <c r="U14" t="str" cm="1">
        <f t="array" ref="U1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5</v>
      </c>
      <c r="V14" t="s">
        <v>62</v>
      </c>
      <c r="W14" t="s">
        <v>38</v>
      </c>
      <c r="X14">
        <v>2</v>
      </c>
      <c r="Y14">
        <v>0</v>
      </c>
      <c r="Z14">
        <v>0</v>
      </c>
      <c r="AA14" cm="1">
        <f t="array" ref="AA14">IF(AND(V14&lt;&gt;"",W14=""),3,_xlfn.IFS(AND(X14="",Y14=""),"",X14&gt;Y14,3,X14&lt;Y14,0,X14=Y14,1))</f>
        <v>3</v>
      </c>
      <c r="AB14" s="16">
        <f t="shared" si="0"/>
        <v>0</v>
      </c>
      <c r="AC14" t="str">
        <f>IF(Week_71Games[[#This Row],[Player 2]]="","",_xlfn.XLOOKUP(Week_71Games[[#This Row],[Player 1]],Week_71[Player],Week_71[Deck]))</f>
        <v>UR Tempo</v>
      </c>
      <c r="AD14" t="str">
        <f>IF(Week_71Games[[#This Row],[Player 2]]="","",_xlfn.XLOOKUP(Week_71Games[[#This Row],[Player 2]],Week_71[Player],Week_71[Deck]))</f>
        <v>Grixis Tempo</v>
      </c>
    </row>
    <row r="15" spans="1:30" ht="14.25" customHeight="1" x14ac:dyDescent="0.3">
      <c r="A15" t="s">
        <v>38</v>
      </c>
      <c r="B15" s="1" t="s">
        <v>40</v>
      </c>
      <c r="C15" s="2">
        <f>IF(ISBLANK(Week_71[[#This Row],[Player]]),-1,SUMIF(V:V,Week_71[[#This Row],[Player]],AA:AA)+SUMIF(W:W,Week_71[[#This Row],[Player]],AB:AB))</f>
        <v>0</v>
      </c>
      <c r="D15" s="3" t="str" cm="1">
        <f t="array" ref="D15">_xlfn.IFS(Week_71[[#This Row],[Points]]=S$4+3,4,Week_71[[#This Row],[Points]]&gt;S$4,3,Week_71[[#This Row],[Points]]=S$4,2,Week_71[[#This Row],[Points]]&lt;S$4,"")</f>
        <v/>
      </c>
      <c r="E15" s="3">
        <f>IF(ISBLANK(Week_71[[#This Row],[Player]]),"",COUNTIFS(AA:AB,3,V:W,Week_71[[#This Row],[Player]]))</f>
        <v>0</v>
      </c>
      <c r="F15" s="3">
        <f>IF(ISBLANK(Week_71[[#This Row],[Player]]),"",COUNTIFS(AA:AB,0,V:W,Week_71[[#This Row],[Player]]))</f>
        <v>2</v>
      </c>
      <c r="G15" s="3">
        <f>IF(ISBLANK(Week_71[[#This Row],[Player]]),"",COUNTIFS(AA:AB,1,V:W,Week_71[[#This Row],[Player]]))</f>
        <v>0</v>
      </c>
      <c r="H15" s="4">
        <f>IF(ISBLANK(Week_71[[#This Row],[Player]]),"",COUNTIFS(V:V,Week_71[[#This Row],[Player]],W:W,""))</f>
        <v>0</v>
      </c>
      <c r="I15" s="4">
        <f>IF(ISBLANK(Week_71[[#This Row],[Player]]),"",COUNTIF(V:W,Week_71[[#This Row],[Player]]))</f>
        <v>2</v>
      </c>
      <c r="J15" s="5" t="str">
        <f>IF(ISBLANK(Week_71[[#This Row],[Player]]),"",Week_71[[#This Row],[Win]]&amp;"-"&amp;Week_71[[#This Row],[Loss]]&amp;"-"&amp;Week_71[[#This Row],[Draw]])</f>
        <v>0-2-0</v>
      </c>
      <c r="K15" s="6" cm="1">
        <f t="array" ref="K15">IF(ISBLANK(Week_71[[#This Row],[Player]]),"",(AVERAGE(_xlfn.XLOOKUP(_xlfn.VSTACK(_xlfn._xlws.FILTER(W:W,V:V=Week_71[[#This Row],[Player]],""),_xlfn._xlws.FILTER(V:V,W:W=Week_71[[#This Row],[Player]],"")), Week_71[Player], Week_71[MW%], ""))))</f>
        <v>0.66666666666666674</v>
      </c>
      <c r="L15" s="7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>0.33333333333333331</v>
      </c>
      <c r="M15" s="8" cm="1">
        <f t="array" ref="M15">IF(ISBLANK(Week_71[[#This Row],[Player]]),"",(AVERAGE(_xlfn.XLOOKUP(_xlfn.VSTACK(_xlfn._xlws.FILTER(W:W,V:V=Week_71[[#This Row],[Player]],""),_xlfn._xlws.FILTER(V:V,W:W=Week_71[[#This Row],[Player]],"")), Week_71[Player], Week_71[GW%], ""))))</f>
        <v>0.66666666666666663</v>
      </c>
      <c r="N15" s="7">
        <f>IF(ISBLANK(Week_71[[#This Row],[Player]]),"",MAX((1/3),IFERROR(Week_71[[#This Row],[Points]]/(Week_71[[#This Row],[Rounds]]*3),"")))</f>
        <v>0.33333333333333331</v>
      </c>
      <c r="O15"/>
      <c r="P15" s="9" t="str">
        <f>IF(Week_71[[#This Row],[Points]]&gt;=S$4,S$5*Week_71[[#This Row],[calcWin]]/SUM(Week_71[calcWin])+Week_71[[#This Row],[OMF Bonus]],IF(Week_71[[#This Row],[OMF Bonus]]&gt;0,Week_71[[#This Row],[OMF Bonus]],""))</f>
        <v/>
      </c>
      <c r="Q15"/>
      <c r="U15" t="str" cm="1">
        <f t="array" ref="U1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6</v>
      </c>
      <c r="V15" t="s">
        <v>63</v>
      </c>
      <c r="W15" t="s">
        <v>60</v>
      </c>
      <c r="X15">
        <v>2</v>
      </c>
      <c r="Y15">
        <v>0</v>
      </c>
      <c r="Z15">
        <v>0</v>
      </c>
      <c r="AA15" cm="1">
        <f t="array" ref="AA15">IF(AND(V15&lt;&gt;"",W15=""),3,_xlfn.IFS(AND(X15="",Y15=""),"",X15&gt;Y15,3,X15&lt;Y15,0,X15=Y15,1))</f>
        <v>3</v>
      </c>
      <c r="AB15" s="16">
        <f t="shared" si="0"/>
        <v>0</v>
      </c>
      <c r="AC15" t="str">
        <f>IF(Week_71Games[[#This Row],[Player 2]]="","",_xlfn.XLOOKUP(Week_71Games[[#This Row],[Player 1]],Week_71[Player],Week_71[Deck]))</f>
        <v>Doomsday</v>
      </c>
      <c r="AD15" t="str">
        <f>IF(Week_71Games[[#This Row],[Player 2]]="","",_xlfn.XLOOKUP(Week_71Games[[#This Row],[Player 2]],Week_71[Player],Week_71[Deck]))</f>
        <v>Cloudpost</v>
      </c>
    </row>
    <row r="16" spans="1:30" ht="14.25" customHeight="1" x14ac:dyDescent="0.3">
      <c r="B16" s="1"/>
      <c r="C16" s="2">
        <f>IF(ISBLANK(Week_71[[#This Row],[Player]]),-1,SUMIF(V:V,Week_71[[#This Row],[Player]],AA:AA)+SUMIF(W:W,Week_71[[#This Row],[Player]],AB:AB))</f>
        <v>-1</v>
      </c>
      <c r="D16" s="3" t="str" cm="1">
        <f t="array" ref="D16">_xlfn.IFS(Week_71[[#This Row],[Points]]=S$4+3,4,Week_71[[#This Row],[Points]]&gt;S$4,3,Week_71[[#This Row],[Points]]=S$4,2,Week_71[[#This Row],[Points]]&lt;S$4,"")</f>
        <v/>
      </c>
      <c r="E16" s="3" t="str">
        <f>IF(ISBLANK(Week_71[[#This Row],[Player]]),"",COUNTIFS(AA:AB,3,V:W,Week_71[[#This Row],[Player]]))</f>
        <v/>
      </c>
      <c r="F16" s="3" t="str">
        <f>IF(ISBLANK(Week_71[[#This Row],[Player]]),"",COUNTIFS(AA:AB,0,V:W,Week_71[[#This Row],[Player]]))</f>
        <v/>
      </c>
      <c r="G16" s="3" t="str">
        <f>IF(ISBLANK(Week_71[[#This Row],[Player]]),"",COUNTIFS(AA:AB,1,V:W,Week_71[[#This Row],[Player]]))</f>
        <v/>
      </c>
      <c r="H16" s="4" t="str">
        <f>IF(ISBLANK(Week_71[[#This Row],[Player]]),"",COUNTIFS(V:V,Week_71[[#This Row],[Player]],W:W,""))</f>
        <v/>
      </c>
      <c r="I16" s="4" t="str">
        <f>IF(ISBLANK(Week_71[[#This Row],[Player]]),"",COUNTIF(V:W,Week_71[[#This Row],[Player]]))</f>
        <v/>
      </c>
      <c r="J16" s="5" t="str">
        <f>IF(ISBLANK(Week_71[[#This Row],[Player]]),"",Week_71[[#This Row],[Win]]&amp;"-"&amp;Week_71[[#This Row],[Loss]]&amp;"-"&amp;Week_71[[#This Row],[Draw]])</f>
        <v/>
      </c>
      <c r="K16" s="6" t="str" cm="1">
        <f t="array" ref="K16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16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16" s="8" t="str" cm="1">
        <f t="array" ref="M16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16" s="7" t="str">
        <f>IF(ISBLANK(Week_71[[#This Row],[Player]]),"",MAX((1/3),IFERROR(Week_71[[#This Row],[Points]]/(Week_71[[#This Row],[Rounds]]*3),"")))</f>
        <v/>
      </c>
      <c r="O16"/>
      <c r="P16" s="9" t="str">
        <f>IF(Week_71[[#This Row],[Points]]&gt;=S$4,S$5*Week_71[[#This Row],[calcWin]]/SUM(Week_71[calcWin])+Week_71[[#This Row],[OMF Bonus]],IF(Week_71[[#This Row],[OMF Bonus]]&gt;0,Week_71[[#This Row],[OMF Bonus]],""))</f>
        <v/>
      </c>
      <c r="Q16"/>
      <c r="U16" t="str" cm="1">
        <f t="array" ref="U1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7</v>
      </c>
      <c r="V16" t="s">
        <v>58</v>
      </c>
      <c r="W16" t="s">
        <v>32</v>
      </c>
      <c r="X16">
        <v>1</v>
      </c>
      <c r="Y16">
        <v>2</v>
      </c>
      <c r="Z16">
        <v>0</v>
      </c>
      <c r="AA16" cm="1">
        <f t="array" ref="AA16">IF(AND(V16&lt;&gt;"",W16=""),3,_xlfn.IFS(AND(X16="",Y16=""),"",X16&gt;Y16,3,X16&lt;Y16,0,X16=Y16,1))</f>
        <v>0</v>
      </c>
      <c r="AB16" s="16">
        <f t="shared" si="0"/>
        <v>3</v>
      </c>
      <c r="AC16" t="str">
        <f>IF(Week_71Games[[#This Row],[Player 2]]="","",_xlfn.XLOOKUP(Week_71Games[[#This Row],[Player 1]],Week_71[Player],Week_71[Deck]))</f>
        <v>Cloudpost</v>
      </c>
      <c r="AD16" t="str">
        <f>IF(Week_71Games[[#This Row],[Player 2]]="","",_xlfn.XLOOKUP(Week_71Games[[#This Row],[Player 2]],Week_71[Player],Week_71[Deck]))</f>
        <v>Rx Painter</v>
      </c>
    </row>
    <row r="17" spans="2:30" ht="14.25" customHeight="1" x14ac:dyDescent="0.3">
      <c r="B17" s="1"/>
      <c r="C17" s="2">
        <f>IF(ISBLANK(Week_71[[#This Row],[Player]]),-1,SUMIF(V:V,Week_71[[#This Row],[Player]],AA:AA)+SUMIF(W:W,Week_71[[#This Row],[Player]],AB:AB))</f>
        <v>-1</v>
      </c>
      <c r="D17" s="3" t="str" cm="1">
        <f t="array" ref="D17">_xlfn.IFS(Week_71[[#This Row],[Points]]=S$4+3,4,Week_71[[#This Row],[Points]]&gt;S$4,3,Week_71[[#This Row],[Points]]=S$4,2,Week_71[[#This Row],[Points]]&lt;S$4,"")</f>
        <v/>
      </c>
      <c r="E17" s="3" t="str">
        <f>IF(ISBLANK(Week_71[[#This Row],[Player]]),"",COUNTIFS(AA:AB,3,V:W,Week_71[[#This Row],[Player]]))</f>
        <v/>
      </c>
      <c r="F17" s="3" t="str">
        <f>IF(ISBLANK(Week_71[[#This Row],[Player]]),"",COUNTIFS(AA:AB,0,V:W,Week_71[[#This Row],[Player]]))</f>
        <v/>
      </c>
      <c r="G17" s="3" t="str">
        <f>IF(ISBLANK(Week_71[[#This Row],[Player]]),"",COUNTIFS(AA:AB,1,V:W,Week_71[[#This Row],[Player]]))</f>
        <v/>
      </c>
      <c r="H17" s="4" t="str">
        <f>IF(ISBLANK(Week_71[[#This Row],[Player]]),"",COUNTIFS(V:V,Week_71[[#This Row],[Player]],W:W,""))</f>
        <v/>
      </c>
      <c r="I17" s="4" t="str">
        <f>IF(ISBLANK(Week_71[[#This Row],[Player]]),"",COUNTIF(V:W,Week_71[[#This Row],[Player]]))</f>
        <v/>
      </c>
      <c r="J17" s="5" t="str">
        <f>IF(ISBLANK(Week_71[[#This Row],[Player]]),"",Week_71[[#This Row],[Win]]&amp;"-"&amp;Week_71[[#This Row],[Loss]]&amp;"-"&amp;Week_71[[#This Row],[Draw]])</f>
        <v/>
      </c>
      <c r="K17" s="6" t="str" cm="1">
        <f t="array" ref="K17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17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17" s="8" t="str" cm="1">
        <f t="array" ref="M17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17" s="7" t="str">
        <f>IF(ISBLANK(Week_71[[#This Row],[Player]]),"",MAX((1/3),IFERROR(Week_71[[#This Row],[Points]]/(Week_71[[#This Row],[Rounds]]*3),"")))</f>
        <v/>
      </c>
      <c r="O17"/>
      <c r="P17" s="9" t="str">
        <f>IF(Week_71[[#This Row],[Points]]&gt;=S$4,S$5*Week_71[[#This Row],[calcWin]]/SUM(Week_71[calcWin])+Week_71[[#This Row],[OMF Bonus]],IF(Week_71[[#This Row],[OMF Bonus]]&gt;0,Week_71[[#This Row],[OMF Bonus]],""))</f>
        <v/>
      </c>
      <c r="Q17"/>
      <c r="U17" t="str" cm="1">
        <f t="array" ref="U1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Round 3</v>
      </c>
      <c r="AA17" t="str" cm="1">
        <f t="array" ref="AA17">IF(AND(V17&lt;&gt;"",W17=""),3,_xlfn.IFS(AND(X17="",Y17=""),"",X17&gt;Y17,3,X17&lt;Y17,0,X17=Y17,1))</f>
        <v/>
      </c>
      <c r="AB17" s="16" t="str">
        <f t="shared" si="0"/>
        <v/>
      </c>
      <c r="AC17" t="str">
        <f>IF(Week_71Games[[#This Row],[Player 2]]="","",_xlfn.XLOOKUP(Week_71Games[[#This Row],[Player 1]],Week_71[Player],Week_71[Deck]))</f>
        <v/>
      </c>
      <c r="AD17" t="str">
        <f>IF(Week_71Games[[#This Row],[Player 2]]="","",_xlfn.XLOOKUP(Week_71Games[[#This Row],[Player 2]],Week_71[Player],Week_71[Deck]))</f>
        <v/>
      </c>
    </row>
    <row r="18" spans="2:30" ht="14.25" customHeight="1" x14ac:dyDescent="0.3">
      <c r="C18" s="2">
        <f>IF(ISBLANK(Week_71[[#This Row],[Player]]),-1,SUMIF(V:V,Week_71[[#This Row],[Player]],AA:AA)+SUMIF(W:W,Week_71[[#This Row],[Player]],AB:AB))</f>
        <v>-1</v>
      </c>
      <c r="D18" s="3" t="str" cm="1">
        <f t="array" ref="D18">_xlfn.IFS(Week_71[[#This Row],[Points]]=S$4+3,4,Week_71[[#This Row],[Points]]&gt;S$4,3,Week_71[[#This Row],[Points]]=S$4,2,Week_71[[#This Row],[Points]]&lt;S$4,"")</f>
        <v/>
      </c>
      <c r="E18" s="3" t="str">
        <f>IF(ISBLANK(Week_71[[#This Row],[Player]]),"",COUNTIFS(AA:AB,3,V:W,Week_71[[#This Row],[Player]]))</f>
        <v/>
      </c>
      <c r="F18" s="3" t="str">
        <f>IF(ISBLANK(Week_71[[#This Row],[Player]]),"",COUNTIFS(AA:AB,0,V:W,Week_71[[#This Row],[Player]]))</f>
        <v/>
      </c>
      <c r="G18" s="3" t="str">
        <f>IF(ISBLANK(Week_71[[#This Row],[Player]]),"",COUNTIFS(AA:AB,1,V:W,Week_71[[#This Row],[Player]]))</f>
        <v/>
      </c>
      <c r="H18" s="4" t="str">
        <f>IF(ISBLANK(Week_71[[#This Row],[Player]]),"",COUNTIFS(V:V,Week_71[[#This Row],[Player]],W:W,""))</f>
        <v/>
      </c>
      <c r="I18" s="4" t="str">
        <f>IF(ISBLANK(Week_71[[#This Row],[Player]]),"",COUNTIF(V:W,Week_71[[#This Row],[Player]]))</f>
        <v/>
      </c>
      <c r="J18" s="5" t="str">
        <f>IF(ISBLANK(Week_71[[#This Row],[Player]]),"",Week_71[[#This Row],[Win]]&amp;"-"&amp;Week_71[[#This Row],[Loss]]&amp;"-"&amp;Week_71[[#This Row],[Draw]])</f>
        <v/>
      </c>
      <c r="K18" s="6" t="str" cm="1">
        <f t="array" ref="K18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18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18" s="8" t="str" cm="1">
        <f t="array" ref="M18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18" s="7" t="str">
        <f>IF(ISBLANK(Week_71[[#This Row],[Player]]),"",MAX((1/3),IFERROR(Week_71[[#This Row],[Points]]/(Week_71[[#This Row],[Rounds]]*3),"")))</f>
        <v/>
      </c>
      <c r="O18"/>
      <c r="P18" s="9" t="str">
        <f>IF(Week_71[[#This Row],[Points]]&gt;=S$4,S$5*Week_71[[#This Row],[calcWin]]/SUM(Week_71[calcWin])+Week_71[[#This Row],[OMF Bonus]],IF(Week_71[[#This Row],[OMF Bonus]]&gt;0,Week_71[[#This Row],[OMF Bonus]],""))</f>
        <v/>
      </c>
      <c r="Q18"/>
      <c r="U18" t="str" cm="1">
        <f t="array" ref="U1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1</v>
      </c>
      <c r="V18" t="s">
        <v>46</v>
      </c>
      <c r="W18" t="s">
        <v>39</v>
      </c>
      <c r="X18">
        <v>1</v>
      </c>
      <c r="Y18">
        <v>2</v>
      </c>
      <c r="Z18">
        <v>0</v>
      </c>
      <c r="AA18" cm="1">
        <f t="array" ref="AA18">IF(AND(V18&lt;&gt;"",W18=""),3,_xlfn.IFS(AND(X18="",Y18=""),"",X18&gt;Y18,3,X18&lt;Y18,0,X18=Y18,1))</f>
        <v>0</v>
      </c>
      <c r="AB18" s="16">
        <f t="shared" si="0"/>
        <v>3</v>
      </c>
      <c r="AC18" t="str">
        <f>IF(Week_71Games[[#This Row],[Player 2]]="","",_xlfn.XLOOKUP(Week_71Games[[#This Row],[Player 1]],Week_71[Player],Week_71[Deck]))</f>
        <v>Moon Stompy</v>
      </c>
      <c r="AD18" t="str">
        <f>IF(Week_71Games[[#This Row],[Player 2]]="","",_xlfn.XLOOKUP(Week_71Games[[#This Row],[Player 2]],Week_71[Player],Week_71[Deck]))</f>
        <v>Grixis Soothsayer</v>
      </c>
    </row>
    <row r="19" spans="2:30" ht="14.25" customHeight="1" x14ac:dyDescent="0.3">
      <c r="C19" s="2">
        <f>IF(ISBLANK(Week_71[[#This Row],[Player]]),-1,SUMIF(V:V,Week_71[[#This Row],[Player]],AA:AA)+SUMIF(W:W,Week_71[[#This Row],[Player]],AB:AB))</f>
        <v>-1</v>
      </c>
      <c r="D19" s="3" t="str" cm="1">
        <f t="array" ref="D19">_xlfn.IFS(Week_71[[#This Row],[Points]]=S$4+3,4,Week_71[[#This Row],[Points]]&gt;S$4,3,Week_71[[#This Row],[Points]]=S$4,2,Week_71[[#This Row],[Points]]&lt;S$4,"")</f>
        <v/>
      </c>
      <c r="E19" s="3" t="str">
        <f>IF(ISBLANK(Week_71[[#This Row],[Player]]),"",COUNTIFS(AA:AB,3,V:W,Week_71[[#This Row],[Player]]))</f>
        <v/>
      </c>
      <c r="F19" s="3" t="str">
        <f>IF(ISBLANK(Week_71[[#This Row],[Player]]),"",COUNTIFS(AA:AB,0,V:W,Week_71[[#This Row],[Player]]))</f>
        <v/>
      </c>
      <c r="G19" s="3" t="str">
        <f>IF(ISBLANK(Week_71[[#This Row],[Player]]),"",COUNTIFS(AA:AB,1,V:W,Week_71[[#This Row],[Player]]))</f>
        <v/>
      </c>
      <c r="H19" s="4" t="str">
        <f>IF(ISBLANK(Week_71[[#This Row],[Player]]),"",COUNTIFS(V:V,Week_71[[#This Row],[Player]],W:W,""))</f>
        <v/>
      </c>
      <c r="I19" s="4" t="str">
        <f>IF(ISBLANK(Week_71[[#This Row],[Player]]),"",COUNTIF(V:W,Week_71[[#This Row],[Player]]))</f>
        <v/>
      </c>
      <c r="J19" s="5" t="str">
        <f>IF(ISBLANK(Week_71[[#This Row],[Player]]),"",Week_71[[#This Row],[Win]]&amp;"-"&amp;Week_71[[#This Row],[Loss]]&amp;"-"&amp;Week_71[[#This Row],[Draw]])</f>
        <v/>
      </c>
      <c r="K19" s="6" t="str" cm="1">
        <f t="array" ref="K19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19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19" s="8" t="str" cm="1">
        <f t="array" ref="M19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19" s="7" t="str">
        <f>IF(ISBLANK(Week_71[[#This Row],[Player]]),"",MAX((1/3),IFERROR(Week_71[[#This Row],[Points]]/(Week_71[[#This Row],[Rounds]]*3),"")))</f>
        <v/>
      </c>
      <c r="O19"/>
      <c r="P19" s="9" t="str">
        <f>IF(Week_71[[#This Row],[Points]]&gt;=S$4,S$5*Week_71[[#This Row],[calcWin]]/SUM(Week_71[calcWin])+Week_71[[#This Row],[OMF Bonus]],IF(Week_71[[#This Row],[OMF Bonus]]&gt;0,Week_71[[#This Row],[OMF Bonus]],""))</f>
        <v/>
      </c>
      <c r="Q19"/>
      <c r="U19" t="str" cm="1">
        <f t="array" ref="U1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2</v>
      </c>
      <c r="V19" t="s">
        <v>35</v>
      </c>
      <c r="W19" t="s">
        <v>62</v>
      </c>
      <c r="X19">
        <v>2</v>
      </c>
      <c r="Y19">
        <v>1</v>
      </c>
      <c r="Z19">
        <v>0</v>
      </c>
      <c r="AA19" cm="1">
        <f t="array" ref="AA19">IF(AND(V19&lt;&gt;"",W19=""),3,_xlfn.IFS(AND(X19="",Y19=""),"",X19&gt;Y19,3,X19&lt;Y19,0,X19=Y19,1))</f>
        <v>3</v>
      </c>
      <c r="AB19" s="16">
        <f t="shared" si="0"/>
        <v>0</v>
      </c>
      <c r="AC19" t="str">
        <f>IF(Week_71Games[[#This Row],[Player 2]]="","",_xlfn.XLOOKUP(Week_71Games[[#This Row],[Player 1]],Week_71[Player],Week_71[Deck]))</f>
        <v>Mono B Reanimator</v>
      </c>
      <c r="AD19" t="str">
        <f>IF(Week_71Games[[#This Row],[Player 2]]="","",_xlfn.XLOOKUP(Week_71Games[[#This Row],[Player 2]],Week_71[Player],Week_71[Deck]))</f>
        <v>UR Tempo</v>
      </c>
    </row>
    <row r="20" spans="2:30" ht="14.25" customHeight="1" x14ac:dyDescent="0.3">
      <c r="B20" s="1"/>
      <c r="C20" s="2">
        <f>IF(ISBLANK(Week_71[[#This Row],[Player]]),-1,SUMIF(V:V,Week_71[[#This Row],[Player]],AA:AA)+SUMIF(W:W,Week_71[[#This Row],[Player]],AB:AB))</f>
        <v>-1</v>
      </c>
      <c r="D20" s="3" t="str" cm="1">
        <f t="array" ref="D20">_xlfn.IFS(Week_71[[#This Row],[Points]]=S$4+3,4,Week_71[[#This Row],[Points]]&gt;S$4,3,Week_71[[#This Row],[Points]]=S$4,2,Week_71[[#This Row],[Points]]&lt;S$4,"")</f>
        <v/>
      </c>
      <c r="E20" s="3" t="str">
        <f>IF(ISBLANK(Week_71[[#This Row],[Player]]),"",COUNTIFS(AA:AB,3,V:W,Week_71[[#This Row],[Player]]))</f>
        <v/>
      </c>
      <c r="F20" s="3" t="str">
        <f>IF(ISBLANK(Week_71[[#This Row],[Player]]),"",COUNTIFS(AA:AB,0,V:W,Week_71[[#This Row],[Player]]))</f>
        <v/>
      </c>
      <c r="G20" s="3" t="str">
        <f>IF(ISBLANK(Week_71[[#This Row],[Player]]),"",COUNTIFS(AA:AB,1,V:W,Week_71[[#This Row],[Player]]))</f>
        <v/>
      </c>
      <c r="H20" s="4" t="str">
        <f>IF(ISBLANK(Week_71[[#This Row],[Player]]),"",COUNTIFS(V:V,Week_71[[#This Row],[Player]],W:W,""))</f>
        <v/>
      </c>
      <c r="I20" s="4" t="str">
        <f>IF(ISBLANK(Week_71[[#This Row],[Player]]),"",COUNTIF(V:W,Week_71[[#This Row],[Player]]))</f>
        <v/>
      </c>
      <c r="J20" s="5" t="str">
        <f>IF(ISBLANK(Week_71[[#This Row],[Player]]),"",Week_71[[#This Row],[Win]]&amp;"-"&amp;Week_71[[#This Row],[Loss]]&amp;"-"&amp;Week_71[[#This Row],[Draw]])</f>
        <v/>
      </c>
      <c r="K20" s="6" t="str" cm="1">
        <f t="array" ref="K20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20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20" s="8" t="str" cm="1">
        <f t="array" ref="M20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20" s="7" t="str">
        <f>IF(ISBLANK(Week_71[[#This Row],[Player]]),"",MAX((1/3),IFERROR(Week_71[[#This Row],[Points]]/(Week_71[[#This Row],[Rounds]]*3),"")))</f>
        <v/>
      </c>
      <c r="O20"/>
      <c r="P20" s="9" t="str">
        <f>IF(Week_71[[#This Row],[Points]]&gt;=S$4,S$5*Week_71[[#This Row],[calcWin]]/SUM(Week_71[calcWin])+Week_71[[#This Row],[OMF Bonus]],IF(Week_71[[#This Row],[OMF Bonus]]&gt;0,Week_71[[#This Row],[OMF Bonus]],""))</f>
        <v/>
      </c>
      <c r="Q20"/>
      <c r="U20" t="str" cm="1">
        <f t="array" ref="U2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3</v>
      </c>
      <c r="V20" t="s">
        <v>42</v>
      </c>
      <c r="W20" t="s">
        <v>63</v>
      </c>
      <c r="X20">
        <v>2</v>
      </c>
      <c r="Y20">
        <v>0</v>
      </c>
      <c r="Z20">
        <v>0</v>
      </c>
      <c r="AA20" cm="1">
        <f t="array" ref="AA20">IF(AND(V20&lt;&gt;"",W20=""),3,_xlfn.IFS(AND(X20="",Y20=""),"",X20&gt;Y20,3,X20&lt;Y20,0,X20=Y20,1))</f>
        <v>3</v>
      </c>
      <c r="AB20" s="16">
        <f t="shared" si="0"/>
        <v>0</v>
      </c>
      <c r="AC20" t="str">
        <f>IF(Week_71Games[[#This Row],[Player 2]]="","",_xlfn.XLOOKUP(Week_71Games[[#This Row],[Player 1]],Week_71[Player],Week_71[Deck]))</f>
        <v>UR Tempo</v>
      </c>
      <c r="AD20" t="str">
        <f>IF(Week_71Games[[#This Row],[Player 2]]="","",_xlfn.XLOOKUP(Week_71Games[[#This Row],[Player 2]],Week_71[Player],Week_71[Deck]))</f>
        <v>Doomsday</v>
      </c>
    </row>
    <row r="21" spans="2:30" ht="14.25" customHeight="1" x14ac:dyDescent="0.3">
      <c r="B21" s="1"/>
      <c r="C21" s="2">
        <f>IF(ISBLANK(Week_71[[#This Row],[Player]]),-1,SUMIF(V:V,Week_71[[#This Row],[Player]],AA:AA)+SUMIF(W:W,Week_71[[#This Row],[Player]],AB:AB))</f>
        <v>-1</v>
      </c>
      <c r="D21" s="3" t="str" cm="1">
        <f t="array" ref="D21">_xlfn.IFS(Week_71[[#This Row],[Points]]=S$4+3,4,Week_71[[#This Row],[Points]]&gt;S$4,3,Week_71[[#This Row],[Points]]=S$4,2,Week_71[[#This Row],[Points]]&lt;S$4,"")</f>
        <v/>
      </c>
      <c r="E21" s="3" t="str">
        <f>IF(ISBLANK(Week_71[[#This Row],[Player]]),"",COUNTIFS(AA:AB,3,V:W,Week_71[[#This Row],[Player]]))</f>
        <v/>
      </c>
      <c r="F21" s="3" t="str">
        <f>IF(ISBLANK(Week_71[[#This Row],[Player]]),"",COUNTIFS(AA:AB,0,V:W,Week_71[[#This Row],[Player]]))</f>
        <v/>
      </c>
      <c r="G21" s="3" t="str">
        <f>IF(ISBLANK(Week_71[[#This Row],[Player]]),"",COUNTIFS(AA:AB,1,V:W,Week_71[[#This Row],[Player]]))</f>
        <v/>
      </c>
      <c r="H21" s="4" t="str">
        <f>IF(ISBLANK(Week_71[[#This Row],[Player]]),"",COUNTIFS(V:V,Week_71[[#This Row],[Player]],W:W,""))</f>
        <v/>
      </c>
      <c r="I21" s="4" t="str">
        <f>IF(ISBLANK(Week_71[[#This Row],[Player]]),"",COUNTIF(V:W,Week_71[[#This Row],[Player]]))</f>
        <v/>
      </c>
      <c r="J21" s="5" t="str">
        <f>IF(ISBLANK(Week_71[[#This Row],[Player]]),"",Week_71[[#This Row],[Win]]&amp;"-"&amp;Week_71[[#This Row],[Loss]]&amp;"-"&amp;Week_71[[#This Row],[Draw]])</f>
        <v/>
      </c>
      <c r="K21" s="6" t="str" cm="1">
        <f t="array" ref="K21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21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21" s="8" t="str" cm="1">
        <f t="array" ref="M21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21" s="7" t="str">
        <f>IF(ISBLANK(Week_71[[#This Row],[Player]]),"",MAX((1/3),IFERROR(Week_71[[#This Row],[Points]]/(Week_71[[#This Row],[Rounds]]*3),"")))</f>
        <v/>
      </c>
      <c r="O21"/>
      <c r="P21" s="9" t="str">
        <f>IF(Week_71[[#This Row],[Points]]&gt;=S$4,S$5*Week_71[[#This Row],[calcWin]]/SUM(Week_71[calcWin])+Week_71[[#This Row],[OMF Bonus]],IF(Week_71[[#This Row],[OMF Bonus]]&gt;0,Week_71[[#This Row],[OMF Bonus]],""))</f>
        <v/>
      </c>
      <c r="Q21"/>
      <c r="U21" t="str" cm="1">
        <f t="array" ref="U2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4</v>
      </c>
      <c r="V21" t="s">
        <v>32</v>
      </c>
      <c r="W21" t="s">
        <v>31</v>
      </c>
      <c r="X21">
        <v>2</v>
      </c>
      <c r="Y21">
        <v>1</v>
      </c>
      <c r="Z21">
        <v>0</v>
      </c>
      <c r="AA21" cm="1">
        <f t="array" ref="AA21">IF(AND(V21&lt;&gt;"",W21=""),3,_xlfn.IFS(AND(X21="",Y21=""),"",X21&gt;Y21,3,X21&lt;Y21,0,X21=Y21,1))</f>
        <v>3</v>
      </c>
      <c r="AB21" s="16">
        <f t="shared" si="0"/>
        <v>0</v>
      </c>
      <c r="AC21" t="str">
        <f>IF(Week_71Games[[#This Row],[Player 2]]="","",_xlfn.XLOOKUP(Week_71Games[[#This Row],[Player 1]],Week_71[Player],Week_71[Deck]))</f>
        <v>Rx Painter</v>
      </c>
      <c r="AD21" t="str">
        <f>IF(Week_71Games[[#This Row],[Player 2]]="","",_xlfn.XLOOKUP(Week_71Games[[#This Row],[Player 2]],Week_71[Player],Week_71[Deck]))</f>
        <v>Nazu Wizards</v>
      </c>
    </row>
    <row r="22" spans="2:30" ht="14.25" customHeight="1" x14ac:dyDescent="0.3">
      <c r="B22" s="1"/>
      <c r="C22" s="2">
        <f>IF(ISBLANK(Week_71[[#This Row],[Player]]),-1,SUMIF(V:V,Week_71[[#This Row],[Player]],AA:AA)+SUMIF(W:W,Week_71[[#This Row],[Player]],AB:AB))</f>
        <v>-1</v>
      </c>
      <c r="D22" s="3" t="str" cm="1">
        <f t="array" ref="D22">_xlfn.IFS(Week_71[[#This Row],[Points]]=S$4+3,4,Week_71[[#This Row],[Points]]&gt;S$4,3,Week_71[[#This Row],[Points]]=S$4,2,Week_71[[#This Row],[Points]]&lt;S$4,"")</f>
        <v/>
      </c>
      <c r="E22" s="3" t="str">
        <f>IF(ISBLANK(Week_71[[#This Row],[Player]]),"",COUNTIFS(AA:AB,3,V:W,Week_71[[#This Row],[Player]]))</f>
        <v/>
      </c>
      <c r="F22" s="3" t="str">
        <f>IF(ISBLANK(Week_71[[#This Row],[Player]]),"",COUNTIFS(AA:AB,0,V:W,Week_71[[#This Row],[Player]]))</f>
        <v/>
      </c>
      <c r="G22" s="3" t="str">
        <f>IF(ISBLANK(Week_71[[#This Row],[Player]]),"",COUNTIFS(AA:AB,1,V:W,Week_71[[#This Row],[Player]]))</f>
        <v/>
      </c>
      <c r="H22" s="4" t="str">
        <f>IF(ISBLANK(Week_71[[#This Row],[Player]]),"",COUNTIFS(V:V,Week_71[[#This Row],[Player]],W:W,""))</f>
        <v/>
      </c>
      <c r="I22" s="4" t="str">
        <f>IF(ISBLANK(Week_71[[#This Row],[Player]]),"",COUNTIF(V:W,Week_71[[#This Row],[Player]]))</f>
        <v/>
      </c>
      <c r="J22" s="5" t="str">
        <f>IF(ISBLANK(Week_71[[#This Row],[Player]]),"",Week_71[[#This Row],[Win]]&amp;"-"&amp;Week_71[[#This Row],[Loss]]&amp;"-"&amp;Week_71[[#This Row],[Draw]])</f>
        <v/>
      </c>
      <c r="K22" s="6" t="str" cm="1">
        <f t="array" ref="K22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22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22" s="8" t="str" cm="1">
        <f t="array" ref="M22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22" s="7" t="str">
        <f>IF(ISBLANK(Week_71[[#This Row],[Player]]),"",MAX((1/3),IFERROR(Week_71[[#This Row],[Points]]/(Week_71[[#This Row],[Rounds]]*3),"")))</f>
        <v/>
      </c>
      <c r="O22"/>
      <c r="P22" s="9" t="str">
        <f>IF(Week_71[[#This Row],[Points]]&gt;=S$4,S$5*Week_71[[#This Row],[calcWin]]/SUM(Week_71[calcWin])+Week_71[[#This Row],[OMF Bonus]],IF(Week_71[[#This Row],[OMF Bonus]]&gt;0,Week_71[[#This Row],[OMF Bonus]],""))</f>
        <v/>
      </c>
      <c r="Q22"/>
      <c r="U22" t="str" cm="1">
        <f t="array" ref="U2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5</v>
      </c>
      <c r="V22" t="s">
        <v>43</v>
      </c>
      <c r="W22" t="s">
        <v>61</v>
      </c>
      <c r="X22">
        <v>2</v>
      </c>
      <c r="Y22">
        <v>0</v>
      </c>
      <c r="Z22">
        <v>0</v>
      </c>
      <c r="AA22" cm="1">
        <f t="array" ref="AA22">IF(AND(V22&lt;&gt;"",W22=""),3,_xlfn.IFS(AND(X22="",Y22=""),"",X22&gt;Y22,3,X22&lt;Y22,0,X22=Y22,1))</f>
        <v>3</v>
      </c>
      <c r="AB22" s="16">
        <f t="shared" si="0"/>
        <v>0</v>
      </c>
      <c r="AC22" t="str">
        <f>IF(Week_71Games[[#This Row],[Player 2]]="","",_xlfn.XLOOKUP(Week_71Games[[#This Row],[Player 1]],Week_71[Player],Week_71[Deck]))</f>
        <v>BUG Beans</v>
      </c>
      <c r="AD22" t="str">
        <f>IF(Week_71Games[[#This Row],[Player 2]]="","",_xlfn.XLOOKUP(Week_71Games[[#This Row],[Player 2]],Week_71[Player],Week_71[Deck]))</f>
        <v>4+ Color Beans</v>
      </c>
    </row>
    <row r="23" spans="2:30" ht="14.25" customHeight="1" x14ac:dyDescent="0.3">
      <c r="B23" s="1"/>
      <c r="C23" s="2">
        <f>IF(ISBLANK(Week_71[[#This Row],[Player]]),-1,SUMIF(V:V,Week_71[[#This Row],[Player]],AA:AA)+SUMIF(W:W,Week_71[[#This Row],[Player]],AB:AB))</f>
        <v>-1</v>
      </c>
      <c r="D23" s="3" t="str" cm="1">
        <f t="array" ref="D23">_xlfn.IFS(Week_71[[#This Row],[Points]]=S$4+3,4,Week_71[[#This Row],[Points]]&gt;S$4,3,Week_71[[#This Row],[Points]]=S$4,2,Week_71[[#This Row],[Points]]&lt;S$4,"")</f>
        <v/>
      </c>
      <c r="E23" s="3" t="str">
        <f>IF(ISBLANK(Week_71[[#This Row],[Player]]),"",COUNTIFS(AA:AB,3,V:W,Week_71[[#This Row],[Player]]))</f>
        <v/>
      </c>
      <c r="F23" s="3" t="str">
        <f>IF(ISBLANK(Week_71[[#This Row],[Player]]),"",COUNTIFS(AA:AB,0,V:W,Week_71[[#This Row],[Player]]))</f>
        <v/>
      </c>
      <c r="G23" s="3" t="str">
        <f>IF(ISBLANK(Week_71[[#This Row],[Player]]),"",COUNTIFS(AA:AB,1,V:W,Week_71[[#This Row],[Player]]))</f>
        <v/>
      </c>
      <c r="H23" s="4" t="str">
        <f>IF(ISBLANK(Week_71[[#This Row],[Player]]),"",COUNTIFS(V:V,Week_71[[#This Row],[Player]],W:W,""))</f>
        <v/>
      </c>
      <c r="I23" s="4" t="str">
        <f>IF(ISBLANK(Week_71[[#This Row],[Player]]),"",COUNTIF(V:W,Week_71[[#This Row],[Player]]))</f>
        <v/>
      </c>
      <c r="J23" s="5" t="str">
        <f>IF(ISBLANK(Week_71[[#This Row],[Player]]),"",Week_71[[#This Row],[Win]]&amp;"-"&amp;Week_71[[#This Row],[Loss]]&amp;"-"&amp;Week_71[[#This Row],[Draw]])</f>
        <v/>
      </c>
      <c r="K23" s="6" t="str" cm="1">
        <f t="array" ref="K23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23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23" s="8" t="str" cm="1">
        <f t="array" ref="M23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23" s="7" t="str">
        <f>IF(ISBLANK(Week_71[[#This Row],[Player]]),"",MAX((1/3),IFERROR(Week_71[[#This Row],[Points]]/(Week_71[[#This Row],[Rounds]]*3),"")))</f>
        <v/>
      </c>
      <c r="O23"/>
      <c r="P23" s="9" t="str">
        <f>IF(Week_71[[#This Row],[Points]]&gt;=S$4,S$5*Week_71[[#This Row],[calcWin]]/SUM(Week_71[calcWin])+Week_71[[#This Row],[OMF Bonus]],IF(Week_71[[#This Row],[OMF Bonus]]&gt;0,Week_71[[#This Row],[OMF Bonus]],""))</f>
        <v/>
      </c>
      <c r="Q23" s="1"/>
      <c r="S23" s="1"/>
      <c r="T23" s="1"/>
      <c r="U23" t="str" cm="1">
        <f t="array" ref="U2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6</v>
      </c>
      <c r="V23" t="s">
        <v>56</v>
      </c>
      <c r="W23" t="s">
        <v>58</v>
      </c>
      <c r="X23">
        <v>2</v>
      </c>
      <c r="Y23">
        <v>0</v>
      </c>
      <c r="Z23">
        <v>0</v>
      </c>
      <c r="AA23" cm="1">
        <f t="array" ref="AA23">IF(AND(V23&lt;&gt;"",W23=""),3,_xlfn.IFS(AND(X23="",Y23=""),"",X23&gt;Y23,3,X23&lt;Y23,0,X23=Y23,1))</f>
        <v>3</v>
      </c>
      <c r="AB23" s="16">
        <f t="shared" si="0"/>
        <v>0</v>
      </c>
      <c r="AC23" t="str">
        <f>IF(Week_71Games[[#This Row],[Player 2]]="","",_xlfn.XLOOKUP(Week_71Games[[#This Row],[Player 1]],Week_71[Player],Week_71[Deck]))</f>
        <v>Sneak and Show</v>
      </c>
      <c r="AD23" t="str">
        <f>IF(Week_71Games[[#This Row],[Player 2]]="","",_xlfn.XLOOKUP(Week_71Games[[#This Row],[Player 2]],Week_71[Player],Week_71[Deck]))</f>
        <v>Cloudpost</v>
      </c>
    </row>
    <row r="24" spans="2:30" ht="14.25" customHeight="1" x14ac:dyDescent="0.3">
      <c r="B24" s="1"/>
      <c r="C24" s="2">
        <f>IF(ISBLANK(Week_71[[#This Row],[Player]]),-1,SUMIF(V:V,Week_71[[#This Row],[Player]],AA:AA)+SUMIF(W:W,Week_71[[#This Row],[Player]],AB:AB))</f>
        <v>-1</v>
      </c>
      <c r="D24" s="3" t="str" cm="1">
        <f t="array" ref="D24">_xlfn.IFS(Week_71[[#This Row],[Points]]=S$4+3,4,Week_71[[#This Row],[Points]]&gt;S$4,3,Week_71[[#This Row],[Points]]=S$4,2,Week_71[[#This Row],[Points]]&lt;S$4,"")</f>
        <v/>
      </c>
      <c r="E24" s="3" t="str">
        <f>IF(ISBLANK(Week_71[[#This Row],[Player]]),"",COUNTIFS(AA:AB,3,V:W,Week_71[[#This Row],[Player]]))</f>
        <v/>
      </c>
      <c r="F24" s="3" t="str">
        <f>IF(ISBLANK(Week_71[[#This Row],[Player]]),"",COUNTIFS(AA:AB,0,V:W,Week_71[[#This Row],[Player]]))</f>
        <v/>
      </c>
      <c r="G24" s="3" t="str">
        <f>IF(ISBLANK(Week_71[[#This Row],[Player]]),"",COUNTIFS(AA:AB,1,V:W,Week_71[[#This Row],[Player]]))</f>
        <v/>
      </c>
      <c r="H24" s="4" t="str">
        <f>IF(ISBLANK(Week_71[[#This Row],[Player]]),"",COUNTIFS(V:V,Week_71[[#This Row],[Player]],W:W,""))</f>
        <v/>
      </c>
      <c r="I24" s="4" t="str">
        <f>IF(ISBLANK(Week_71[[#This Row],[Player]]),"",COUNTIF(V:W,Week_71[[#This Row],[Player]]))</f>
        <v/>
      </c>
      <c r="J24" s="5" t="str">
        <f>IF(ISBLANK(Week_71[[#This Row],[Player]]),"",Week_71[[#This Row],[Win]]&amp;"-"&amp;Week_71[[#This Row],[Loss]]&amp;"-"&amp;Week_71[[#This Row],[Draw]])</f>
        <v/>
      </c>
      <c r="K24" s="6" t="str" cm="1">
        <f t="array" ref="K24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24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24" s="8" t="str" cm="1">
        <f t="array" ref="M24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24" s="7" t="str">
        <f>IF(ISBLANK(Week_71[[#This Row],[Player]]),"",MAX((1/3),IFERROR(Week_71[[#This Row],[Points]]/(Week_71[[#This Row],[Rounds]]*3),"")))</f>
        <v/>
      </c>
      <c r="O24"/>
      <c r="P24" s="9" t="str">
        <f>IF(Week_71[[#This Row],[Points]]&gt;=S$4,S$5*Week_71[[#This Row],[calcWin]]/SUM(Week_71[calcWin])+Week_71[[#This Row],[OMF Bonus]],IF(Week_71[[#This Row],[OMF Bonus]]&gt;0,Week_71[[#This Row],[OMF Bonus]],""))</f>
        <v/>
      </c>
      <c r="Q24" s="1"/>
      <c r="S24" s="1"/>
      <c r="T24" s="1"/>
      <c r="U24" t="str" cm="1">
        <f t="array" ref="U2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7</v>
      </c>
      <c r="V24" t="s">
        <v>60</v>
      </c>
      <c r="X24">
        <v>2</v>
      </c>
      <c r="Y24">
        <v>0</v>
      </c>
      <c r="Z24">
        <v>0</v>
      </c>
      <c r="AA24" cm="1">
        <f t="array" ref="AA24">IF(AND(V24&lt;&gt;"",W24=""),3,_xlfn.IFS(AND(X24="",Y24=""),"",X24&gt;Y24,3,X24&lt;Y24,0,X24=Y24,1))</f>
        <v>3</v>
      </c>
      <c r="AB24" s="16" t="str">
        <f t="shared" si="0"/>
        <v/>
      </c>
      <c r="AC24" t="str">
        <f>IF(Week_71Games[[#This Row],[Player 2]]="","",_xlfn.XLOOKUP(Week_71Games[[#This Row],[Player 1]],Week_71[Player],Week_71[Deck]))</f>
        <v/>
      </c>
      <c r="AD24" t="str">
        <f>IF(Week_71Games[[#This Row],[Player 2]]="","",_xlfn.XLOOKUP(Week_71Games[[#This Row],[Player 2]],Week_71[Player],Week_71[Deck]))</f>
        <v/>
      </c>
    </row>
    <row r="25" spans="2:30" ht="14.25" customHeight="1" x14ac:dyDescent="0.3">
      <c r="B25" s="1"/>
      <c r="C25" s="2">
        <f>IF(ISBLANK(Week_71[[#This Row],[Player]]),-1,SUMIF(V:V,Week_71[[#This Row],[Player]],AA:AA)+SUMIF(W:W,Week_71[[#This Row],[Player]],AB:AB))</f>
        <v>-1</v>
      </c>
      <c r="D25" s="3" t="str" cm="1">
        <f t="array" ref="D25">_xlfn.IFS(Week_71[[#This Row],[Points]]=S$4+3,4,Week_71[[#This Row],[Points]]&gt;S$4,3,Week_71[[#This Row],[Points]]=S$4,2,Week_71[[#This Row],[Points]]&lt;S$4,"")</f>
        <v/>
      </c>
      <c r="E25" s="3" t="str">
        <f>IF(ISBLANK(Week_71[[#This Row],[Player]]),"",COUNTIFS(AA:AB,3,V:W,Week_71[[#This Row],[Player]]))</f>
        <v/>
      </c>
      <c r="F25" s="3" t="str">
        <f>IF(ISBLANK(Week_71[[#This Row],[Player]]),"",COUNTIFS(AA:AB,0,V:W,Week_71[[#This Row],[Player]]))</f>
        <v/>
      </c>
      <c r="G25" s="3" t="str">
        <f>IF(ISBLANK(Week_71[[#This Row],[Player]]),"",COUNTIFS(AA:AB,1,V:W,Week_71[[#This Row],[Player]]))</f>
        <v/>
      </c>
      <c r="H25" s="4" t="str">
        <f>IF(ISBLANK(Week_71[[#This Row],[Player]]),"",COUNTIFS(V:V,Week_71[[#This Row],[Player]],W:W,""))</f>
        <v/>
      </c>
      <c r="I25" s="4" t="str">
        <f>IF(ISBLANK(Week_71[[#This Row],[Player]]),"",COUNTIF(V:W,Week_71[[#This Row],[Player]]))</f>
        <v/>
      </c>
      <c r="J25" s="5" t="str">
        <f>IF(ISBLANK(Week_71[[#This Row],[Player]]),"",Week_71[[#This Row],[Win]]&amp;"-"&amp;Week_71[[#This Row],[Loss]]&amp;"-"&amp;Week_71[[#This Row],[Draw]])</f>
        <v/>
      </c>
      <c r="K25" s="6" t="str" cm="1">
        <f t="array" ref="K25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25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25" s="8" t="str" cm="1">
        <f t="array" ref="M25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25" s="7" t="str">
        <f>IF(ISBLANK(Week_71[[#This Row],[Player]]),"",MAX((1/3),IFERROR(Week_71[[#This Row],[Points]]/(Week_71[[#This Row],[Rounds]]*3),"")))</f>
        <v/>
      </c>
      <c r="O25"/>
      <c r="P25" s="9" t="str">
        <f>IF(Week_71[[#This Row],[Points]]&gt;=S$4,S$5*Week_71[[#This Row],[calcWin]]/SUM(Week_71[calcWin])+Week_71[[#This Row],[OMF Bonus]],IF(Week_71[[#This Row],[OMF Bonus]]&gt;0,Week_71[[#This Row],[OMF Bonus]],""))</f>
        <v/>
      </c>
      <c r="Q25" s="9"/>
      <c r="R25" s="19" t="s">
        <v>55</v>
      </c>
      <c r="S25" s="1"/>
      <c r="T25" s="1"/>
      <c r="U25" t="str" cm="1">
        <f t="array" ref="U2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Round 4</v>
      </c>
      <c r="AA25" t="str" cm="1">
        <f t="array" ref="AA25">IF(AND(V25&lt;&gt;"",W25=""),3,_xlfn.IFS(AND(X25="",Y25=""),"",X25&gt;Y25,3,X25&lt;Y25,0,X25=Y25,1))</f>
        <v/>
      </c>
      <c r="AB25" s="16" t="str">
        <f t="shared" si="0"/>
        <v/>
      </c>
      <c r="AC25" t="str">
        <f>IF(Week_71Games[[#This Row],[Player 2]]="","",_xlfn.XLOOKUP(Week_71Games[[#This Row],[Player 1]],Week_71[Player],Week_71[Deck]))</f>
        <v/>
      </c>
      <c r="AD25" t="str">
        <f>IF(Week_71Games[[#This Row],[Player 2]]="","",_xlfn.XLOOKUP(Week_71Games[[#This Row],[Player 2]],Week_71[Player],Week_71[Deck]))</f>
        <v/>
      </c>
    </row>
    <row r="26" spans="2:30" ht="14.25" customHeight="1" x14ac:dyDescent="0.3">
      <c r="B26" s="1"/>
      <c r="C26" s="2">
        <f>IF(ISBLANK(Week_71[[#This Row],[Player]]),-1,SUMIF(V:V,Week_71[[#This Row],[Player]],AA:AA)+SUMIF(W:W,Week_71[[#This Row],[Player]],AB:AB))</f>
        <v>-1</v>
      </c>
      <c r="D26" s="3" t="str" cm="1">
        <f t="array" ref="D26">_xlfn.IFS(Week_71[[#This Row],[Points]]=S$4+3,4,Week_71[[#This Row],[Points]]&gt;S$4,3,Week_71[[#This Row],[Points]]=S$4,2,Week_71[[#This Row],[Points]]&lt;S$4,"")</f>
        <v/>
      </c>
      <c r="E26" s="3" t="str">
        <f>IF(ISBLANK(Week_71[[#This Row],[Player]]),"",COUNTIFS(AA:AB,3,V:W,Week_71[[#This Row],[Player]]))</f>
        <v/>
      </c>
      <c r="F26" s="3" t="str">
        <f>IF(ISBLANK(Week_71[[#This Row],[Player]]),"",COUNTIFS(AA:AB,0,V:W,Week_71[[#This Row],[Player]]))</f>
        <v/>
      </c>
      <c r="G26" s="3" t="str">
        <f>IF(ISBLANK(Week_71[[#This Row],[Player]]),"",COUNTIFS(AA:AB,1,V:W,Week_71[[#This Row],[Player]]))</f>
        <v/>
      </c>
      <c r="H26" s="4" t="str">
        <f>IF(ISBLANK(Week_71[[#This Row],[Player]]),"",COUNTIFS(V:V,Week_71[[#This Row],[Player]],W:W,""))</f>
        <v/>
      </c>
      <c r="I26" s="4" t="str">
        <f>IF(ISBLANK(Week_71[[#This Row],[Player]]),"",COUNTIF(V:W,Week_71[[#This Row],[Player]]))</f>
        <v/>
      </c>
      <c r="J26" s="5" t="str">
        <f>IF(ISBLANK(Week_71[[#This Row],[Player]]),"",Week_71[[#This Row],[Win]]&amp;"-"&amp;Week_71[[#This Row],[Loss]]&amp;"-"&amp;Week_71[[#This Row],[Draw]])</f>
        <v/>
      </c>
      <c r="K26" s="6" t="str" cm="1">
        <f t="array" ref="K26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26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26" s="8" t="str" cm="1">
        <f t="array" ref="M26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26" s="7" t="str">
        <f>IF(ISBLANK(Week_71[[#This Row],[Player]]),"",MAX((1/3),IFERROR(Week_71[[#This Row],[Points]]/(Week_71[[#This Row],[Rounds]]*3),"")))</f>
        <v/>
      </c>
      <c r="O26"/>
      <c r="P26" s="9" t="str">
        <f>IF(Week_71[[#This Row],[Points]]&gt;=S$4,S$5*Week_71[[#This Row],[calcWin]]/SUM(Week_71[calcWin])+Week_71[[#This Row],[OMF Bonus]],IF(Week_71[[#This Row],[OMF Bonus]]&gt;0,Week_71[[#This Row],[OMF Bonus]],""))</f>
        <v/>
      </c>
      <c r="Q26" s="9"/>
      <c r="R26" s="1"/>
      <c r="S26" s="1"/>
      <c r="T26" s="1"/>
      <c r="U26" t="str" cm="1">
        <f t="array" ref="U2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1</v>
      </c>
      <c r="V26" t="s">
        <v>39</v>
      </c>
      <c r="W26" t="s">
        <v>35</v>
      </c>
      <c r="X26">
        <v>1</v>
      </c>
      <c r="Y26">
        <v>2</v>
      </c>
      <c r="Z26">
        <v>0</v>
      </c>
      <c r="AA26" cm="1">
        <f t="array" ref="AA26">IF(AND(V26&lt;&gt;"",W26=""),3,_xlfn.IFS(AND(X26="",Y26=""),"",X26&gt;Y26,3,X26&lt;Y26,0,X26=Y26,1))</f>
        <v>0</v>
      </c>
      <c r="AB26" s="16">
        <f t="shared" si="0"/>
        <v>3</v>
      </c>
      <c r="AC26" t="str">
        <f>IF(Week_71Games[[#This Row],[Player 2]]="","",_xlfn.XLOOKUP(Week_71Games[[#This Row],[Player 1]],Week_71[Player],Week_71[Deck]))</f>
        <v>Grixis Soothsayer</v>
      </c>
      <c r="AD26" t="str">
        <f>IF(Week_71Games[[#This Row],[Player 2]]="","",_xlfn.XLOOKUP(Week_71Games[[#This Row],[Player 2]],Week_71[Player],Week_71[Deck]))</f>
        <v>Mono B Reanimator</v>
      </c>
    </row>
    <row r="27" spans="2:30" ht="14.25" customHeight="1" x14ac:dyDescent="0.3">
      <c r="B27" s="1"/>
      <c r="C27" s="2">
        <f>IF(ISBLANK(Week_71[[#This Row],[Player]]),-1,SUMIF(V:V,Week_71[[#This Row],[Player]],AA:AA)+SUMIF(W:W,Week_71[[#This Row],[Player]],AB:AB))</f>
        <v>-1</v>
      </c>
      <c r="D27" s="3" t="str" cm="1">
        <f t="array" ref="D27">_xlfn.IFS(Week_71[[#This Row],[Points]]=S$4+3,4,Week_71[[#This Row],[Points]]&gt;S$4,3,Week_71[[#This Row],[Points]]=S$4,2,Week_71[[#This Row],[Points]]&lt;S$4,"")</f>
        <v/>
      </c>
      <c r="E27" s="3" t="str">
        <f>IF(ISBLANK(Week_71[[#This Row],[Player]]),"",COUNTIFS(AA:AB,3,V:W,Week_71[[#This Row],[Player]]))</f>
        <v/>
      </c>
      <c r="F27" s="3" t="str">
        <f>IF(ISBLANK(Week_71[[#This Row],[Player]]),"",COUNTIFS(AA:AB,0,V:W,Week_71[[#This Row],[Player]]))</f>
        <v/>
      </c>
      <c r="G27" s="3" t="str">
        <f>IF(ISBLANK(Week_71[[#This Row],[Player]]),"",COUNTIFS(AA:AB,1,V:W,Week_71[[#This Row],[Player]]))</f>
        <v/>
      </c>
      <c r="H27" s="4" t="str">
        <f>IF(ISBLANK(Week_71[[#This Row],[Player]]),"",COUNTIFS(V:V,Week_71[[#This Row],[Player]],W:W,""))</f>
        <v/>
      </c>
      <c r="I27" s="4" t="str">
        <f>IF(ISBLANK(Week_71[[#This Row],[Player]]),"",COUNTIF(V:W,Week_71[[#This Row],[Player]]))</f>
        <v/>
      </c>
      <c r="J27" s="5" t="str">
        <f>IF(ISBLANK(Week_71[[#This Row],[Player]]),"",Week_71[[#This Row],[Win]]&amp;"-"&amp;Week_71[[#This Row],[Loss]]&amp;"-"&amp;Week_71[[#This Row],[Draw]])</f>
        <v/>
      </c>
      <c r="K27" s="6" t="str" cm="1">
        <f t="array" ref="K27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27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27" s="8" t="str" cm="1">
        <f t="array" ref="M27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27" s="7" t="str">
        <f>IF(ISBLANK(Week_71[[#This Row],[Player]]),"",MAX((1/3),IFERROR(Week_71[[#This Row],[Points]]/(Week_71[[#This Row],[Rounds]]*3),"")))</f>
        <v/>
      </c>
      <c r="O27"/>
      <c r="P27" s="9" t="str">
        <f>IF(Week_71[[#This Row],[Points]]&gt;=S$4,S$5*Week_71[[#This Row],[calcWin]]/SUM(Week_71[calcWin])+Week_71[[#This Row],[OMF Bonus]],IF(Week_71[[#This Row],[OMF Bonus]]&gt;0,Week_71[[#This Row],[OMF Bonus]],""))</f>
        <v/>
      </c>
      <c r="Q27" s="9"/>
      <c r="R27" s="1"/>
      <c r="S27" s="1"/>
      <c r="T27" s="1"/>
      <c r="U27" t="str" cm="1">
        <f t="array" ref="U2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2</v>
      </c>
      <c r="V27" t="s">
        <v>42</v>
      </c>
      <c r="W27" t="s">
        <v>46</v>
      </c>
      <c r="X27">
        <v>1</v>
      </c>
      <c r="Y27">
        <v>2</v>
      </c>
      <c r="Z27">
        <v>0</v>
      </c>
      <c r="AA27" cm="1">
        <f t="array" ref="AA27">IF(AND(V27&lt;&gt;"",W27=""),3,_xlfn.IFS(AND(X27="",Y27=""),"",X27&gt;Y27,3,X27&lt;Y27,0,X27=Y27,1))</f>
        <v>0</v>
      </c>
      <c r="AB27" s="16">
        <f t="shared" si="0"/>
        <v>3</v>
      </c>
      <c r="AC27" t="str">
        <f>IF(Week_71Games[[#This Row],[Player 2]]="","",_xlfn.XLOOKUP(Week_71Games[[#This Row],[Player 1]],Week_71[Player],Week_71[Deck]))</f>
        <v>UR Tempo</v>
      </c>
      <c r="AD27" t="str">
        <f>IF(Week_71Games[[#This Row],[Player 2]]="","",_xlfn.XLOOKUP(Week_71Games[[#This Row],[Player 2]],Week_71[Player],Week_71[Deck]))</f>
        <v>Moon Stompy</v>
      </c>
    </row>
    <row r="28" spans="2:30" ht="14.25" customHeight="1" x14ac:dyDescent="0.3">
      <c r="B28" s="1"/>
      <c r="C28" s="2">
        <f>IF(ISBLANK(Week_71[[#This Row],[Player]]),-1,SUMIF(V:V,Week_71[[#This Row],[Player]],AA:AA)+SUMIF(W:W,Week_71[[#This Row],[Player]],AB:AB))</f>
        <v>-1</v>
      </c>
      <c r="D28" s="3" t="str" cm="1">
        <f t="array" ref="D28">_xlfn.IFS(Week_71[[#This Row],[Points]]=S$4+3,4,Week_71[[#This Row],[Points]]&gt;S$4,3,Week_71[[#This Row],[Points]]=S$4,2,Week_71[[#This Row],[Points]]&lt;S$4,"")</f>
        <v/>
      </c>
      <c r="E28" s="3" t="str">
        <f>IF(ISBLANK(Week_71[[#This Row],[Player]]),"",COUNTIFS(AA:AB,3,V:W,Week_71[[#This Row],[Player]]))</f>
        <v/>
      </c>
      <c r="F28" s="3" t="str">
        <f>IF(ISBLANK(Week_71[[#This Row],[Player]]),"",COUNTIFS(AA:AB,0,V:W,Week_71[[#This Row],[Player]]))</f>
        <v/>
      </c>
      <c r="G28" s="3" t="str">
        <f>IF(ISBLANK(Week_71[[#This Row],[Player]]),"",COUNTIFS(AA:AB,1,V:W,Week_71[[#This Row],[Player]]))</f>
        <v/>
      </c>
      <c r="H28" s="4" t="str">
        <f>IF(ISBLANK(Week_71[[#This Row],[Player]]),"",COUNTIFS(V:V,Week_71[[#This Row],[Player]],W:W,""))</f>
        <v/>
      </c>
      <c r="I28" s="4" t="str">
        <f>IF(ISBLANK(Week_71[[#This Row],[Player]]),"",COUNTIF(V:W,Week_71[[#This Row],[Player]]))</f>
        <v/>
      </c>
      <c r="J28" s="5" t="str">
        <f>IF(ISBLANK(Week_71[[#This Row],[Player]]),"",Week_71[[#This Row],[Win]]&amp;"-"&amp;Week_71[[#This Row],[Loss]]&amp;"-"&amp;Week_71[[#This Row],[Draw]])</f>
        <v/>
      </c>
      <c r="K28" s="6" t="str" cm="1">
        <f t="array" ref="K28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28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28" s="8" t="str" cm="1">
        <f t="array" ref="M28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28" s="7" t="str">
        <f>IF(ISBLANK(Week_71[[#This Row],[Player]]),"",MAX((1/3),IFERROR(Week_71[[#This Row],[Points]]/(Week_71[[#This Row],[Rounds]]*3),"")))</f>
        <v/>
      </c>
      <c r="O28"/>
      <c r="P28" s="9" t="str">
        <f>IF(Week_71[[#This Row],[Points]]&gt;=S$4,S$5*Week_71[[#This Row],[calcWin]]/SUM(Week_71[calcWin])+Week_71[[#This Row],[OMF Bonus]],IF(Week_71[[#This Row],[OMF Bonus]]&gt;0,Week_71[[#This Row],[OMF Bonus]],""))</f>
        <v/>
      </c>
      <c r="Q28" s="9"/>
      <c r="R28" s="1"/>
      <c r="S28" s="1"/>
      <c r="T28" s="1"/>
      <c r="U28" t="str" cm="1">
        <f t="array" ref="U2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3</v>
      </c>
      <c r="V28" t="s">
        <v>43</v>
      </c>
      <c r="W28" t="s">
        <v>32</v>
      </c>
      <c r="X28">
        <v>2</v>
      </c>
      <c r="Y28">
        <v>0</v>
      </c>
      <c r="Z28">
        <v>0</v>
      </c>
      <c r="AA28" cm="1">
        <f t="array" ref="AA28">IF(AND(V28&lt;&gt;"",W28=""),3,_xlfn.IFS(AND(X28="",Y28=""),"",X28&gt;Y28,3,X28&lt;Y28,0,X28=Y28,1))</f>
        <v>3</v>
      </c>
      <c r="AB28" s="16">
        <f t="shared" si="0"/>
        <v>0</v>
      </c>
      <c r="AC28" t="str">
        <f>IF(Week_71Games[[#This Row],[Player 2]]="","",_xlfn.XLOOKUP(Week_71Games[[#This Row],[Player 1]],Week_71[Player],Week_71[Deck]))</f>
        <v>BUG Beans</v>
      </c>
      <c r="AD28" t="str">
        <f>IF(Week_71Games[[#This Row],[Player 2]]="","",_xlfn.XLOOKUP(Week_71Games[[#This Row],[Player 2]],Week_71[Player],Week_71[Deck]))</f>
        <v>Rx Painter</v>
      </c>
    </row>
    <row r="29" spans="2:30" ht="14.25" customHeight="1" x14ac:dyDescent="0.3">
      <c r="B29" s="1"/>
      <c r="C29" s="2">
        <f>IF(ISBLANK(Week_71[[#This Row],[Player]]),-1,SUMIF(V:V,Week_71[[#This Row],[Player]],AA:AA)+SUMIF(W:W,Week_71[[#This Row],[Player]],AB:AB))</f>
        <v>-1</v>
      </c>
      <c r="D29" s="3" t="str" cm="1">
        <f t="array" ref="D29">_xlfn.IFS(Week_71[[#This Row],[Points]]=S$4+3,4,Week_71[[#This Row],[Points]]&gt;S$4,3,Week_71[[#This Row],[Points]]=S$4,2,Week_71[[#This Row],[Points]]&lt;S$4,"")</f>
        <v/>
      </c>
      <c r="E29" s="3" t="str">
        <f>IF(ISBLANK(Week_71[[#This Row],[Player]]),"",COUNTIFS(AA:AB,3,V:W,Week_71[[#This Row],[Player]]))</f>
        <v/>
      </c>
      <c r="F29" s="3" t="str">
        <f>IF(ISBLANK(Week_71[[#This Row],[Player]]),"",COUNTIFS(AA:AB,0,V:W,Week_71[[#This Row],[Player]]))</f>
        <v/>
      </c>
      <c r="G29" s="3" t="str">
        <f>IF(ISBLANK(Week_71[[#This Row],[Player]]),"",COUNTIFS(AA:AB,1,V:W,Week_71[[#This Row],[Player]]))</f>
        <v/>
      </c>
      <c r="H29" s="4" t="str">
        <f>IF(ISBLANK(Week_71[[#This Row],[Player]]),"",COUNTIFS(V:V,Week_71[[#This Row],[Player]],W:W,""))</f>
        <v/>
      </c>
      <c r="I29" s="4" t="str">
        <f>IF(ISBLANK(Week_71[[#This Row],[Player]]),"",COUNTIF(V:W,Week_71[[#This Row],[Player]]))</f>
        <v/>
      </c>
      <c r="J29" s="5" t="str">
        <f>IF(ISBLANK(Week_71[[#This Row],[Player]]),"",Week_71[[#This Row],[Win]]&amp;"-"&amp;Week_71[[#This Row],[Loss]]&amp;"-"&amp;Week_71[[#This Row],[Draw]])</f>
        <v/>
      </c>
      <c r="K29" s="6" t="str" cm="1">
        <f t="array" ref="K29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29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29" s="8" t="str" cm="1">
        <f t="array" ref="M29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29" s="7" t="str">
        <f>IF(ISBLANK(Week_71[[#This Row],[Player]]),"",MAX((1/3),IFERROR(Week_71[[#This Row],[Points]]/(Week_71[[#This Row],[Rounds]]*3),"")))</f>
        <v/>
      </c>
      <c r="O29"/>
      <c r="P29" s="9" t="str">
        <f>IF(Week_71[[#This Row],[Points]]&gt;=S$4,S$5*Week_71[[#This Row],[calcWin]]/SUM(Week_71[calcWin])+Week_71[[#This Row],[OMF Bonus]],IF(Week_71[[#This Row],[OMF Bonus]]&gt;0,Week_71[[#This Row],[OMF Bonus]],""))</f>
        <v/>
      </c>
      <c r="Q29" s="9"/>
      <c r="R29" s="1"/>
      <c r="S29" s="1"/>
      <c r="T29" s="1"/>
      <c r="U29" t="str" cm="1">
        <f t="array" ref="U2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4</v>
      </c>
      <c r="V29" t="s">
        <v>62</v>
      </c>
      <c r="W29" t="s">
        <v>61</v>
      </c>
      <c r="X29">
        <v>2</v>
      </c>
      <c r="Y29">
        <v>0</v>
      </c>
      <c r="Z29">
        <v>0</v>
      </c>
      <c r="AA29" cm="1">
        <f t="array" ref="AA29">IF(AND(V29&lt;&gt;"",W29=""),3,_xlfn.IFS(AND(X29="",Y29=""),"",X29&gt;Y29,3,X29&lt;Y29,0,X29=Y29,1))</f>
        <v>3</v>
      </c>
      <c r="AB29" s="16">
        <f t="shared" si="0"/>
        <v>0</v>
      </c>
      <c r="AC29" t="str">
        <f>IF(Week_71Games[[#This Row],[Player 2]]="","",_xlfn.XLOOKUP(Week_71Games[[#This Row],[Player 1]],Week_71[Player],Week_71[Deck]))</f>
        <v>UR Tempo</v>
      </c>
      <c r="AD29" t="str">
        <f>IF(Week_71Games[[#This Row],[Player 2]]="","",_xlfn.XLOOKUP(Week_71Games[[#This Row],[Player 2]],Week_71[Player],Week_71[Deck]))</f>
        <v>4+ Color Beans</v>
      </c>
    </row>
    <row r="30" spans="2:30" ht="14.25" customHeight="1" x14ac:dyDescent="0.3">
      <c r="B30" s="1"/>
      <c r="C30" s="2">
        <f>IF(ISBLANK(Week_71[[#This Row],[Player]]),-1,SUMIF(V:V,Week_71[[#This Row],[Player]],AA:AA)+SUMIF(W:W,Week_71[[#This Row],[Player]],AB:AB))</f>
        <v>-1</v>
      </c>
      <c r="D30" s="3" t="str" cm="1">
        <f t="array" ref="D30">_xlfn.IFS(Week_71[[#This Row],[Points]]=S$4+3,4,Week_71[[#This Row],[Points]]&gt;S$4,3,Week_71[[#This Row],[Points]]=S$4,2,Week_71[[#This Row],[Points]]&lt;S$4,"")</f>
        <v/>
      </c>
      <c r="E30" s="3" t="str">
        <f>IF(ISBLANK(Week_71[[#This Row],[Player]]),"",COUNTIFS(AA:AB,3,V:W,Week_71[[#This Row],[Player]]))</f>
        <v/>
      </c>
      <c r="F30" s="3" t="str">
        <f>IF(ISBLANK(Week_71[[#This Row],[Player]]),"",COUNTIFS(AA:AB,0,V:W,Week_71[[#This Row],[Player]]))</f>
        <v/>
      </c>
      <c r="G30" s="3" t="str">
        <f>IF(ISBLANK(Week_71[[#This Row],[Player]]),"",COUNTIFS(AA:AB,1,V:W,Week_71[[#This Row],[Player]]))</f>
        <v/>
      </c>
      <c r="H30" s="4" t="str">
        <f>IF(ISBLANK(Week_71[[#This Row],[Player]]),"",COUNTIFS(V:V,Week_71[[#This Row],[Player]],W:W,""))</f>
        <v/>
      </c>
      <c r="I30" s="4" t="str">
        <f>IF(ISBLANK(Week_71[[#This Row],[Player]]),"",COUNTIF(V:W,Week_71[[#This Row],[Player]]))</f>
        <v/>
      </c>
      <c r="J30" s="5" t="str">
        <f>IF(ISBLANK(Week_71[[#This Row],[Player]]),"",Week_71[[#This Row],[Win]]&amp;"-"&amp;Week_71[[#This Row],[Loss]]&amp;"-"&amp;Week_71[[#This Row],[Draw]])</f>
        <v/>
      </c>
      <c r="K30" s="6" t="str" cm="1">
        <f t="array" ref="K30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30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30" s="8" t="str" cm="1">
        <f t="array" ref="M30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30" s="7" t="str">
        <f>IF(ISBLANK(Week_71[[#This Row],[Player]]),"",MAX((1/3),IFERROR(Week_71[[#This Row],[Points]]/(Week_71[[#This Row],[Rounds]]*3),"")))</f>
        <v/>
      </c>
      <c r="O30"/>
      <c r="P30" s="9" t="str">
        <f>IF(Week_71[[#This Row],[Points]]&gt;=S$4,S$5*Week_71[[#This Row],[calcWin]]/SUM(Week_71[calcWin])+Week_71[[#This Row],[OMF Bonus]],IF(Week_71[[#This Row],[OMF Bonus]]&gt;0,Week_71[[#This Row],[OMF Bonus]],""))</f>
        <v/>
      </c>
      <c r="Q30" s="9"/>
      <c r="R30" s="1"/>
      <c r="S30" s="1"/>
      <c r="T30" s="1"/>
      <c r="U30" t="str" cm="1">
        <f t="array" ref="U3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5</v>
      </c>
      <c r="V30" t="s">
        <v>63</v>
      </c>
      <c r="W30" t="s">
        <v>31</v>
      </c>
      <c r="X30">
        <v>1</v>
      </c>
      <c r="Y30">
        <v>1</v>
      </c>
      <c r="Z30">
        <v>0</v>
      </c>
      <c r="AA30" cm="1">
        <f t="array" ref="AA30">IF(AND(V30&lt;&gt;"",W30=""),3,_xlfn.IFS(AND(X30="",Y30=""),"",X30&gt;Y30,3,X30&lt;Y30,0,X30=Y30,1))</f>
        <v>1</v>
      </c>
      <c r="AB30" s="16">
        <f t="shared" si="0"/>
        <v>1</v>
      </c>
      <c r="AC30" t="str">
        <f>IF(Week_71Games[[#This Row],[Player 2]]="","",_xlfn.XLOOKUP(Week_71Games[[#This Row],[Player 1]],Week_71[Player],Week_71[Deck]))</f>
        <v>Doomsday</v>
      </c>
      <c r="AD30" t="str">
        <f>IF(Week_71Games[[#This Row],[Player 2]]="","",_xlfn.XLOOKUP(Week_71Games[[#This Row],[Player 2]],Week_71[Player],Week_71[Deck]))</f>
        <v>Nazu Wizards</v>
      </c>
    </row>
    <row r="31" spans="2:30" ht="14.25" customHeight="1" x14ac:dyDescent="0.3">
      <c r="B31" s="1"/>
      <c r="C31" s="2">
        <f>IF(ISBLANK(Week_71[[#This Row],[Player]]),-1,SUMIF(V:V,Week_71[[#This Row],[Player]],AA:AA)+SUMIF(W:W,Week_71[[#This Row],[Player]],AB:AB))</f>
        <v>-1</v>
      </c>
      <c r="D31" s="3" t="str" cm="1">
        <f t="array" ref="D31">_xlfn.IFS(Week_71[[#This Row],[Points]]=S$4+3,4,Week_71[[#This Row],[Points]]&gt;S$4,3,Week_71[[#This Row],[Points]]=S$4,2,Week_71[[#This Row],[Points]]&lt;S$4,"")</f>
        <v/>
      </c>
      <c r="E31" s="3" t="str">
        <f>IF(ISBLANK(Week_71[[#This Row],[Player]]),"",COUNTIFS(AA:AB,3,V:W,Week_71[[#This Row],[Player]]))</f>
        <v/>
      </c>
      <c r="F31" s="3" t="str">
        <f>IF(ISBLANK(Week_71[[#This Row],[Player]]),"",COUNTIFS(AA:AB,0,V:W,Week_71[[#This Row],[Player]]))</f>
        <v/>
      </c>
      <c r="G31" s="3" t="str">
        <f>IF(ISBLANK(Week_71[[#This Row],[Player]]),"",COUNTIFS(AA:AB,1,V:W,Week_71[[#This Row],[Player]]))</f>
        <v/>
      </c>
      <c r="H31" s="4" t="str">
        <f>IF(ISBLANK(Week_71[[#This Row],[Player]]),"",COUNTIFS(V:V,Week_71[[#This Row],[Player]],W:W,""))</f>
        <v/>
      </c>
      <c r="I31" s="4" t="str">
        <f>IF(ISBLANK(Week_71[[#This Row],[Player]]),"",COUNTIF(V:W,Week_71[[#This Row],[Player]]))</f>
        <v/>
      </c>
      <c r="J31" s="5" t="str">
        <f>IF(ISBLANK(Week_71[[#This Row],[Player]]),"",Week_71[[#This Row],[Win]]&amp;"-"&amp;Week_71[[#This Row],[Loss]]&amp;"-"&amp;Week_71[[#This Row],[Draw]])</f>
        <v/>
      </c>
      <c r="K31" s="6" t="str" cm="1">
        <f t="array" ref="K31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31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31" s="8" t="str" cm="1">
        <f t="array" ref="M31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31" s="7" t="str">
        <f>IF(ISBLANK(Week_71[[#This Row],[Player]]),"",MAX((1/3),IFERROR(Week_71[[#This Row],[Points]]/(Week_71[[#This Row],[Rounds]]*3),"")))</f>
        <v/>
      </c>
      <c r="O31"/>
      <c r="P31" s="9" t="str">
        <f>IF(Week_71[[#This Row],[Points]]&gt;=S$4,S$5*Week_71[[#This Row],[calcWin]]/SUM(Week_71[calcWin])+Week_71[[#This Row],[OMF Bonus]],IF(Week_71[[#This Row],[OMF Bonus]]&gt;0,Week_71[[#This Row],[OMF Bonus]],""))</f>
        <v/>
      </c>
      <c r="Q31" s="9"/>
      <c r="R31" s="1"/>
      <c r="S31" s="1"/>
      <c r="T31" s="1"/>
      <c r="U31" t="str" cm="1">
        <f t="array" ref="U3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6</v>
      </c>
      <c r="V31" t="s">
        <v>56</v>
      </c>
      <c r="W31" t="s">
        <v>60</v>
      </c>
      <c r="X31">
        <v>2</v>
      </c>
      <c r="Y31">
        <v>0</v>
      </c>
      <c r="Z31">
        <v>0</v>
      </c>
      <c r="AA31" cm="1">
        <f t="array" ref="AA31">IF(AND(V31&lt;&gt;"",W31=""),3,_xlfn.IFS(AND(X31="",Y31=""),"",X31&gt;Y31,3,X31&lt;Y31,0,X31=Y31,1))</f>
        <v>3</v>
      </c>
      <c r="AB31" s="16">
        <f t="shared" si="0"/>
        <v>0</v>
      </c>
      <c r="AC31" t="str">
        <f>IF(Week_71Games[[#This Row],[Player 2]]="","",_xlfn.XLOOKUP(Week_71Games[[#This Row],[Player 1]],Week_71[Player],Week_71[Deck]))</f>
        <v>Sneak and Show</v>
      </c>
      <c r="AD31" t="str">
        <f>IF(Week_71Games[[#This Row],[Player 2]]="","",_xlfn.XLOOKUP(Week_71Games[[#This Row],[Player 2]],Week_71[Player],Week_71[Deck]))</f>
        <v>Cloudpost</v>
      </c>
    </row>
    <row r="32" spans="2:30" ht="14.25" customHeight="1" x14ac:dyDescent="0.3">
      <c r="B32" s="1"/>
      <c r="C32" s="2">
        <f>IF(ISBLANK(Week_71[[#This Row],[Player]]),-1,SUMIF(V:V,Week_71[[#This Row],[Player]],AA:AA)+SUMIF(W:W,Week_71[[#This Row],[Player]],AB:AB))</f>
        <v>-1</v>
      </c>
      <c r="D32" s="3" t="str" cm="1">
        <f t="array" ref="D32">_xlfn.IFS(Week_71[[#This Row],[Points]]=S$4+3,4,Week_71[[#This Row],[Points]]&gt;S$4,3,Week_71[[#This Row],[Points]]=S$4,2,Week_71[[#This Row],[Points]]&lt;S$4,"")</f>
        <v/>
      </c>
      <c r="E32" s="3" t="str">
        <f>IF(ISBLANK(Week_71[[#This Row],[Player]]),"",COUNTIFS(AA:AB,3,V:W,Week_71[[#This Row],[Player]]))</f>
        <v/>
      </c>
      <c r="F32" s="3" t="str">
        <f>IF(ISBLANK(Week_71[[#This Row],[Player]]),"",COUNTIFS(AA:AB,0,V:W,Week_71[[#This Row],[Player]]))</f>
        <v/>
      </c>
      <c r="G32" s="3" t="str">
        <f>IF(ISBLANK(Week_71[[#This Row],[Player]]),"",COUNTIFS(AA:AB,1,V:W,Week_71[[#This Row],[Player]]))</f>
        <v/>
      </c>
      <c r="H32" s="4" t="str">
        <f>IF(ISBLANK(Week_71[[#This Row],[Player]]),"",COUNTIFS(V:V,Week_71[[#This Row],[Player]],W:W,""))</f>
        <v/>
      </c>
      <c r="I32" s="4" t="str">
        <f>IF(ISBLANK(Week_71[[#This Row],[Player]]),"",COUNTIF(V:W,Week_71[[#This Row],[Player]]))</f>
        <v/>
      </c>
      <c r="J32" s="5" t="str">
        <f>IF(ISBLANK(Week_71[[#This Row],[Player]]),"",Week_71[[#This Row],[Win]]&amp;"-"&amp;Week_71[[#This Row],[Loss]]&amp;"-"&amp;Week_71[[#This Row],[Draw]])</f>
        <v/>
      </c>
      <c r="K32" s="6" t="str" cm="1">
        <f t="array" ref="K32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32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32" s="8" t="str" cm="1">
        <f t="array" ref="M32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32" s="7" t="str">
        <f>IF(ISBLANK(Week_71[[#This Row],[Player]]),"",MAX((1/3),IFERROR(Week_71[[#This Row],[Points]]/(Week_71[[#This Row],[Rounds]]*3),"")))</f>
        <v/>
      </c>
      <c r="O32"/>
      <c r="P32" s="9" t="str">
        <f>IF(Week_71[[#This Row],[Points]]&gt;=S$4,S$5*Week_71[[#This Row],[calcWin]]/SUM(Week_71[calcWin])+Week_71[[#This Row],[OMF Bonus]],IF(Week_71[[#This Row],[OMF Bonus]]&gt;0,Week_71[[#This Row],[OMF Bonus]],""))</f>
        <v/>
      </c>
      <c r="Q32" s="9"/>
      <c r="R32" s="1"/>
      <c r="S32" s="1"/>
      <c r="T32" s="1"/>
      <c r="U32" t="str" cm="1">
        <f t="array" ref="U3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7</v>
      </c>
      <c r="V32" t="s">
        <v>58</v>
      </c>
      <c r="X32">
        <v>2</v>
      </c>
      <c r="Y32">
        <v>0</v>
      </c>
      <c r="Z32">
        <v>0</v>
      </c>
      <c r="AA32" cm="1">
        <f t="array" ref="AA32">IF(AND(V32&lt;&gt;"",W32=""),3,_xlfn.IFS(AND(X32="",Y32=""),"",X32&gt;Y32,3,X32&lt;Y32,0,X32=Y32,1))</f>
        <v>3</v>
      </c>
      <c r="AB32" s="16" t="str">
        <f t="shared" si="0"/>
        <v/>
      </c>
      <c r="AC32" t="str">
        <f>IF(Week_71Games[[#This Row],[Player 2]]="","",_xlfn.XLOOKUP(Week_71Games[[#This Row],[Player 1]],Week_71[Player],Week_71[Deck]))</f>
        <v/>
      </c>
      <c r="AD32" t="str">
        <f>IF(Week_71Games[[#This Row],[Player 2]]="","",_xlfn.XLOOKUP(Week_71Games[[#This Row],[Player 2]],Week_71[Player],Week_71[Deck]))</f>
        <v/>
      </c>
    </row>
    <row r="33" spans="2:30" ht="14.25" customHeight="1" x14ac:dyDescent="0.3">
      <c r="B33" s="1"/>
      <c r="C33" s="2">
        <f>IF(ISBLANK(Week_71[[#This Row],[Player]]),-1,SUMIF(V:V,Week_71[[#This Row],[Player]],AA:AA)+SUMIF(W:W,Week_71[[#This Row],[Player]],AB:AB))</f>
        <v>-1</v>
      </c>
      <c r="D33" s="3" t="str" cm="1">
        <f t="array" ref="D33">_xlfn.IFS(Week_71[[#This Row],[Points]]=S$4+3,4,Week_71[[#This Row],[Points]]&gt;S$4,3,Week_71[[#This Row],[Points]]=S$4,2,Week_71[[#This Row],[Points]]&lt;S$4,"")</f>
        <v/>
      </c>
      <c r="E33" s="3" t="str">
        <f>IF(ISBLANK(Week_71[[#This Row],[Player]]),"",COUNTIFS(AA:AB,3,V:W,Week_71[[#This Row],[Player]]))</f>
        <v/>
      </c>
      <c r="F33" s="3" t="str">
        <f>IF(ISBLANK(Week_71[[#This Row],[Player]]),"",COUNTIFS(AA:AB,0,V:W,Week_71[[#This Row],[Player]]))</f>
        <v/>
      </c>
      <c r="G33" s="3" t="str">
        <f>IF(ISBLANK(Week_71[[#This Row],[Player]]),"",COUNTIFS(AA:AB,1,V:W,Week_71[[#This Row],[Player]]))</f>
        <v/>
      </c>
      <c r="H33" s="4" t="str">
        <f>IF(ISBLANK(Week_71[[#This Row],[Player]]),"",COUNTIFS(V:V,Week_71[[#This Row],[Player]],W:W,""))</f>
        <v/>
      </c>
      <c r="I33" s="4" t="str">
        <f>IF(ISBLANK(Week_71[[#This Row],[Player]]),"",COUNTIF(V:W,Week_71[[#This Row],[Player]]))</f>
        <v/>
      </c>
      <c r="J33" s="5" t="str">
        <f>IF(ISBLANK(Week_71[[#This Row],[Player]]),"",Week_71[[#This Row],[Win]]&amp;"-"&amp;Week_71[[#This Row],[Loss]]&amp;"-"&amp;Week_71[[#This Row],[Draw]])</f>
        <v/>
      </c>
      <c r="K33" s="6" t="str" cm="1">
        <f t="array" ref="K33">IF(ISBLANK(Week_71[[#This Row],[Player]]),"",(AVERAGE(_xlfn.XLOOKUP(_xlfn.VSTACK(_xlfn._xlws.FILTER(W:W,V:V=Week_71[[#This Row],[Player]],""),_xlfn._xlws.FILTER(V:V,W:W=Week_71[[#This Row],[Player]],"")), Week_71[Player], Week_71[MW%], ""))))</f>
        <v/>
      </c>
      <c r="L33" s="7" t="str">
        <f>IF(ISBLANK(Week_71[[#This Row],[Player]]),"",MAX((SUMIF(V:W,Week_71[[#This Row],[Player]],X:Y))/(SUMIF(V:V, Week_71[[#This Row],[Player]], X:X) + SUMIF(V:V, Week_71[[#This Row],[Player]], Y:Y) + SUMIF(V:V, Week_71[[#This Row],[Player]], Z:Z)+SUMIF(W:W, Week_71[[#This Row],[Player]], X:X) + SUMIF(W:W, Week_71[[#This Row],[Player]], Y:Y) + SUMIF(W:W, Week_71[[#This Row],[Player]], Z:Z)),(1/3)))</f>
        <v/>
      </c>
      <c r="M33" s="8" t="str" cm="1">
        <f t="array" ref="M33">IF(ISBLANK(Week_71[[#This Row],[Player]]),"",(AVERAGE(_xlfn.XLOOKUP(_xlfn.VSTACK(_xlfn._xlws.FILTER(W:W,V:V=Week_71[[#This Row],[Player]],""),_xlfn._xlws.FILTER(V:V,W:W=Week_71[[#This Row],[Player]],"")), Week_71[Player], Week_71[GW%], ""))))</f>
        <v/>
      </c>
      <c r="N33" s="7" t="str">
        <f>IF(ISBLANK(Week_71[[#This Row],[Player]]),"",MAX((1/3),IFERROR(Week_71[[#This Row],[Points]]/(Week_71[[#This Row],[Rounds]]*3),"")))</f>
        <v/>
      </c>
      <c r="O33"/>
      <c r="P33" s="9" t="str">
        <f>IF(Week_71[[#This Row],[Points]]&gt;=S$4,S$5*Week_71[[#This Row],[calcWin]]/SUM(Week_71[calcWin])+Week_71[[#This Row],[OMF Bonus]],IF(Week_71[[#This Row],[OMF Bonus]]&gt;0,Week_71[[#This Row],[OMF Bonus]],""))</f>
        <v/>
      </c>
      <c r="Q33" s="9"/>
      <c r="R33" s="1"/>
      <c r="S33" s="1"/>
      <c r="T33" s="1"/>
      <c r="U33" t="str" cm="1">
        <f t="array" ref="U3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3" t="str" cm="1">
        <f t="array" ref="AA33">IF(AND(V33&lt;&gt;"",W33=""),3,_xlfn.IFS(AND(X33="",Y33=""),"",X33&gt;Y33,3,X33&lt;Y33,0,X33=Y33,1))</f>
        <v/>
      </c>
      <c r="AB33" s="16" t="str">
        <f t="shared" si="0"/>
        <v/>
      </c>
      <c r="AC33" t="str">
        <f>IF(Week_71Games[[#This Row],[Player 2]]="","",_xlfn.XLOOKUP(Week_71Games[[#This Row],[Player 1]],Week_71[Player],Week_71[Deck]))</f>
        <v/>
      </c>
      <c r="AD33" t="str">
        <f>IF(Week_71Games[[#This Row],[Player 2]]="","",_xlfn.XLOOKUP(Week_71Games[[#This Row],[Player 2]],Week_71[Player],Week_71[Deck]))</f>
        <v/>
      </c>
    </row>
    <row r="34" spans="2:30" ht="14.25" customHeight="1" x14ac:dyDescent="0.3">
      <c r="L34" s="7"/>
      <c r="N34" s="7"/>
      <c r="O34" s="9"/>
      <c r="P34" s="9"/>
      <c r="Q34" s="9"/>
      <c r="R34" s="9"/>
      <c r="S34" s="9"/>
      <c r="T34" s="9"/>
      <c r="U34" t="str" cm="1">
        <f t="array" ref="U3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4" t="str" cm="1">
        <f t="array" ref="AA34">IF(AND(V34&lt;&gt;"",W34=""),3,_xlfn.IFS(AND(X34="",Y34=""),"",X34&gt;Y34,3,X34&lt;Y34,0,X34=Y34,1))</f>
        <v/>
      </c>
      <c r="AB34" s="16" t="str">
        <f t="shared" si="0"/>
        <v/>
      </c>
      <c r="AC34" t="str">
        <f>IF(Week_71Games[[#This Row],[Player 2]]="","",_xlfn.XLOOKUP(Week_71Games[[#This Row],[Player 1]],Week_71[Player],Week_71[Deck]))</f>
        <v/>
      </c>
      <c r="AD34" t="str">
        <f>IF(Week_71Games[[#This Row],[Player 2]]="","",_xlfn.XLOOKUP(Week_71Games[[#This Row],[Player 2]],Week_71[Player],Week_71[Deck]))</f>
        <v/>
      </c>
    </row>
    <row r="35" spans="2:30" ht="14.25" customHeight="1" x14ac:dyDescent="0.3">
      <c r="L35" s="7"/>
      <c r="N35" s="7"/>
      <c r="O35" s="9"/>
      <c r="P35" s="9"/>
      <c r="Q35" s="9"/>
      <c r="R35" s="9"/>
      <c r="S35" s="9"/>
      <c r="T35" s="9"/>
      <c r="U35" t="str" cm="1">
        <f t="array" ref="U3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5" t="str" cm="1">
        <f t="array" ref="AA35">IF(AND(V35&lt;&gt;"",W35=""),3,_xlfn.IFS(AND(X35="",Y35=""),"",X35&gt;Y35,3,X35&lt;Y35,0,X35=Y35,1))</f>
        <v/>
      </c>
      <c r="AB35" s="16" t="str">
        <f t="shared" si="0"/>
        <v/>
      </c>
      <c r="AC35" t="str">
        <f>IF(Week_71Games[[#This Row],[Player 2]]="","",_xlfn.XLOOKUP(Week_71Games[[#This Row],[Player 1]],Week_71[Player],Week_71[Deck]))</f>
        <v/>
      </c>
      <c r="AD35" t="str">
        <f>IF(Week_71Games[[#This Row],[Player 2]]="","",_xlfn.XLOOKUP(Week_71Games[[#This Row],[Player 2]],Week_71[Player],Week_71[Deck]))</f>
        <v/>
      </c>
    </row>
    <row r="36" spans="2:30" ht="14.25" customHeight="1" x14ac:dyDescent="0.3">
      <c r="L36" s="7"/>
      <c r="N36" s="7"/>
      <c r="O36" s="9"/>
      <c r="P36" s="9"/>
      <c r="Q36" s="9"/>
      <c r="R36" s="9"/>
      <c r="S36" s="9"/>
      <c r="T36" s="9"/>
      <c r="U36" t="str" cm="1">
        <f t="array" ref="U3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6" t="str" cm="1">
        <f t="array" ref="AA36">IF(AND(V36&lt;&gt;"",W36=""),3,_xlfn.IFS(AND(X36="",Y36=""),"",X36&gt;Y36,3,X36&lt;Y36,0,X36=Y36,1))</f>
        <v/>
      </c>
      <c r="AB36" s="16" t="str">
        <f t="shared" si="0"/>
        <v/>
      </c>
      <c r="AC36" t="str">
        <f>IF(Week_71Games[[#This Row],[Player 2]]="","",_xlfn.XLOOKUP(Week_71Games[[#This Row],[Player 1]],Week_71[Player],Week_71[Deck]))</f>
        <v/>
      </c>
      <c r="AD36" t="str">
        <f>IF(Week_71Games[[#This Row],[Player 2]]="","",_xlfn.XLOOKUP(Week_71Games[[#This Row],[Player 2]],Week_71[Player],Week_71[Deck]))</f>
        <v/>
      </c>
    </row>
    <row r="37" spans="2:30" ht="14.25" customHeight="1" x14ac:dyDescent="0.3">
      <c r="L37" s="7"/>
      <c r="N37" s="7"/>
      <c r="O37" s="9"/>
      <c r="P37" s="9"/>
      <c r="Q37" s="9"/>
      <c r="R37" s="9"/>
      <c r="S37" s="9"/>
      <c r="T37" s="9"/>
      <c r="U37" t="str" cm="1">
        <f t="array" ref="U3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7" t="str" cm="1">
        <f t="array" ref="AA37">IF(AND(V37&lt;&gt;"",W37=""),3,_xlfn.IFS(AND(X37="",Y37=""),"",X37&gt;Y37,3,X37&lt;Y37,0,X37=Y37,1))</f>
        <v/>
      </c>
      <c r="AB37" s="16" t="str">
        <f t="shared" si="0"/>
        <v/>
      </c>
      <c r="AC37" t="str">
        <f>IF(Week_71Games[[#This Row],[Player 2]]="","",_xlfn.XLOOKUP(Week_71Games[[#This Row],[Player 1]],Week_71[Player],Week_71[Deck]))</f>
        <v/>
      </c>
      <c r="AD37" t="str">
        <f>IF(Week_71Games[[#This Row],[Player 2]]="","",_xlfn.XLOOKUP(Week_71Games[[#This Row],[Player 2]],Week_71[Player],Week_71[Deck]))</f>
        <v/>
      </c>
    </row>
    <row r="38" spans="2:30" ht="14.25" customHeight="1" x14ac:dyDescent="0.3">
      <c r="L38" s="7"/>
      <c r="N38" s="7"/>
      <c r="O38" s="9"/>
      <c r="P38" s="9"/>
      <c r="Q38" s="9"/>
      <c r="R38" s="9"/>
      <c r="S38" s="9"/>
      <c r="T38" s="9"/>
      <c r="U38" t="str" cm="1">
        <f t="array" ref="U3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8" t="str" cm="1">
        <f t="array" ref="AA38">IF(AND(V38&lt;&gt;"",W38=""),3,_xlfn.IFS(AND(X38="",Y38=""),"",X38&gt;Y38,3,X38&lt;Y38,0,X38=Y38,1))</f>
        <v/>
      </c>
      <c r="AB38" s="16" t="str">
        <f t="shared" si="0"/>
        <v/>
      </c>
      <c r="AC38" t="str">
        <f>IF(Week_71Games[[#This Row],[Player 2]]="","",_xlfn.XLOOKUP(Week_71Games[[#This Row],[Player 1]],Week_71[Player],Week_71[Deck]))</f>
        <v/>
      </c>
      <c r="AD38" t="str">
        <f>IF(Week_71Games[[#This Row],[Player 2]]="","",_xlfn.XLOOKUP(Week_71Games[[#This Row],[Player 2]],Week_71[Player],Week_71[Deck]))</f>
        <v/>
      </c>
    </row>
    <row r="39" spans="2:30" ht="14.25" customHeight="1" x14ac:dyDescent="0.3">
      <c r="L39" s="7"/>
      <c r="N39" s="7"/>
      <c r="O39" s="9"/>
      <c r="P39" s="9"/>
      <c r="Q39" s="9"/>
      <c r="R39" s="9"/>
      <c r="S39" s="9"/>
      <c r="T39" s="9"/>
      <c r="U39" t="str" cm="1">
        <f t="array" ref="U3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9" t="str" cm="1">
        <f t="array" ref="AA39">IF(AND(V39&lt;&gt;"",W39=""),3,_xlfn.IFS(AND(X39="",Y39=""),"",X39&gt;Y39,3,X39&lt;Y39,0,X39=Y39,1))</f>
        <v/>
      </c>
      <c r="AB39" s="16" t="str">
        <f t="shared" si="0"/>
        <v/>
      </c>
      <c r="AC39" t="str">
        <f>IF(Week_71Games[[#This Row],[Player 2]]="","",_xlfn.XLOOKUP(Week_71Games[[#This Row],[Player 1]],Week_71[Player],Week_71[Deck]))</f>
        <v/>
      </c>
      <c r="AD39" t="str">
        <f>IF(Week_71Games[[#This Row],[Player 2]]="","",_xlfn.XLOOKUP(Week_71Games[[#This Row],[Player 2]],Week_71[Player],Week_71[Deck]))</f>
        <v/>
      </c>
    </row>
    <row r="40" spans="2:30" ht="14.25" customHeight="1" x14ac:dyDescent="0.3">
      <c r="L40" s="7"/>
      <c r="N40" s="7"/>
      <c r="O40" s="9"/>
      <c r="P40" s="9"/>
      <c r="Q40" s="9"/>
      <c r="R40" s="9"/>
      <c r="S40" s="9"/>
      <c r="T40" s="9"/>
      <c r="U40" t="str" cm="1">
        <f t="array" ref="U4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0" t="str" cm="1">
        <f t="array" ref="AA40">IF(AND(V40&lt;&gt;"",W40=""),3,_xlfn.IFS(AND(X40="",Y40=""),"",X40&gt;Y40,3,X40&lt;Y40,0,X40=Y40,1))</f>
        <v/>
      </c>
      <c r="AB40" s="16" t="str">
        <f t="shared" si="0"/>
        <v/>
      </c>
      <c r="AC40" t="str">
        <f>IF(Week_71Games[[#This Row],[Player 2]]="","",_xlfn.XLOOKUP(Week_71Games[[#This Row],[Player 1]],Week_71[Player],Week_71[Deck]))</f>
        <v/>
      </c>
      <c r="AD40" t="str">
        <f>IF(Week_71Games[[#This Row],[Player 2]]="","",_xlfn.XLOOKUP(Week_71Games[[#This Row],[Player 2]],Week_71[Player],Week_71[Deck]))</f>
        <v/>
      </c>
    </row>
    <row r="41" spans="2:30" ht="14.25" customHeight="1" x14ac:dyDescent="0.3">
      <c r="L41" s="7"/>
      <c r="N41" s="7"/>
      <c r="O41" s="9"/>
      <c r="P41" s="9"/>
      <c r="Q41" s="9"/>
      <c r="R41" s="9"/>
      <c r="S41" s="9"/>
      <c r="T41" s="9"/>
      <c r="U41" t="str" cm="1">
        <f t="array" ref="U4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1" t="str" cm="1">
        <f t="array" ref="AA41">IF(AND(V41&lt;&gt;"",W41=""),3,_xlfn.IFS(AND(X41="",Y41=""),"",X41&gt;Y41,3,X41&lt;Y41,0,X41=Y41,1))</f>
        <v/>
      </c>
      <c r="AB41" s="16" t="str">
        <f t="shared" si="0"/>
        <v/>
      </c>
      <c r="AC41" t="str">
        <f>IF(Week_71Games[[#This Row],[Player 2]]="","",_xlfn.XLOOKUP(Week_71Games[[#This Row],[Player 1]],Week_71[Player],Week_71[Deck]))</f>
        <v/>
      </c>
      <c r="AD41" t="str">
        <f>IF(Week_71Games[[#This Row],[Player 2]]="","",_xlfn.XLOOKUP(Week_71Games[[#This Row],[Player 2]],Week_71[Player],Week_71[Deck]))</f>
        <v/>
      </c>
    </row>
    <row r="42" spans="2:30" ht="14.25" customHeight="1" x14ac:dyDescent="0.3">
      <c r="L42" s="7"/>
      <c r="N42" s="7"/>
      <c r="O42" s="9"/>
      <c r="P42" s="9"/>
      <c r="Q42" s="9"/>
      <c r="R42" s="9"/>
      <c r="S42" s="9"/>
      <c r="T42" s="9"/>
      <c r="U42" t="str" cm="1">
        <f t="array" ref="U4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2" t="str" cm="1">
        <f t="array" ref="AA42">IF(AND(V42&lt;&gt;"",W42=""),3,_xlfn.IFS(AND(X42="",Y42=""),"",X42&gt;Y42,3,X42&lt;Y42,0,X42=Y42,1))</f>
        <v/>
      </c>
      <c r="AB42" s="16" t="str">
        <f t="shared" si="0"/>
        <v/>
      </c>
      <c r="AC42" t="str">
        <f>IF(Week_71Games[[#This Row],[Player 2]]="","",_xlfn.XLOOKUP(Week_71Games[[#This Row],[Player 1]],Week_71[Player],Week_71[Deck]))</f>
        <v/>
      </c>
      <c r="AD42" t="str">
        <f>IF(Week_71Games[[#This Row],[Player 2]]="","",_xlfn.XLOOKUP(Week_71Games[[#This Row],[Player 2]],Week_71[Player],Week_71[Deck]))</f>
        <v/>
      </c>
    </row>
    <row r="43" spans="2:30" ht="14.25" customHeight="1" x14ac:dyDescent="0.3">
      <c r="L43" s="7"/>
      <c r="N43" s="7"/>
      <c r="O43" s="9"/>
      <c r="P43" s="9"/>
      <c r="Q43" s="9"/>
      <c r="R43" s="9"/>
      <c r="S43" s="9"/>
      <c r="T43" s="9"/>
      <c r="U43" t="str" cm="1">
        <f t="array" ref="U4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3" t="str" cm="1">
        <f t="array" ref="AA43">IF(AND(V43&lt;&gt;"",W43=""),3,_xlfn.IFS(AND(X43="",Y43=""),"",X43&gt;Y43,3,X43&lt;Y43,0,X43=Y43,1))</f>
        <v/>
      </c>
      <c r="AB43" s="16" t="str">
        <f t="shared" si="0"/>
        <v/>
      </c>
      <c r="AC43" t="str">
        <f>IF(Week_71Games[[#This Row],[Player 2]]="","",_xlfn.XLOOKUP(Week_71Games[[#This Row],[Player 1]],Week_71[Player],Week_71[Deck]))</f>
        <v/>
      </c>
      <c r="AD43" t="str">
        <f>IF(Week_71Games[[#This Row],[Player 2]]="","",_xlfn.XLOOKUP(Week_71Games[[#This Row],[Player 2]],Week_71[Player],Week_71[Deck]))</f>
        <v/>
      </c>
    </row>
    <row r="44" spans="2:30" ht="14.25" customHeight="1" x14ac:dyDescent="0.3">
      <c r="L44" s="7"/>
      <c r="N44" s="7"/>
      <c r="O44" s="9"/>
      <c r="P44" s="9"/>
      <c r="Q44" s="9"/>
      <c r="R44" s="9"/>
      <c r="S44" s="9"/>
      <c r="T44" s="9"/>
      <c r="U44" t="str" cm="1">
        <f t="array" ref="U4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4" t="str" cm="1">
        <f t="array" ref="AA44">IF(AND(V44&lt;&gt;"",W44=""),3,_xlfn.IFS(AND(X44="",Y44=""),"",X44&gt;Y44,3,X44&lt;Y44,0,X44=Y44,1))</f>
        <v/>
      </c>
      <c r="AB44" s="16" t="str">
        <f t="shared" si="0"/>
        <v/>
      </c>
      <c r="AC44" t="str">
        <f>IF(Week_71Games[[#This Row],[Player 2]]="","",_xlfn.XLOOKUP(Week_71Games[[#This Row],[Player 1]],Week_71[Player],Week_71[Deck]))</f>
        <v/>
      </c>
      <c r="AD44" t="str">
        <f>IF(Week_71Games[[#This Row],[Player 2]]="","",_xlfn.XLOOKUP(Week_71Games[[#This Row],[Player 2]],Week_71[Player],Week_71[Deck]))</f>
        <v/>
      </c>
    </row>
    <row r="45" spans="2:30" ht="14.25" customHeight="1" x14ac:dyDescent="0.3">
      <c r="L45" s="7"/>
      <c r="N45" s="7"/>
      <c r="O45" s="9"/>
      <c r="P45" s="9"/>
      <c r="Q45" s="9"/>
      <c r="R45" s="9"/>
      <c r="S45" s="9"/>
      <c r="T45" s="9"/>
      <c r="U45" t="str" cm="1">
        <f t="array" ref="U4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5" t="str" cm="1">
        <f t="array" ref="AA45">IF(AND(V45&lt;&gt;"",W45=""),3,_xlfn.IFS(AND(X45="",Y45=""),"",X45&gt;Y45,3,X45&lt;Y45,0,X45=Y45,1))</f>
        <v/>
      </c>
      <c r="AB45" s="16" t="str">
        <f t="shared" si="0"/>
        <v/>
      </c>
      <c r="AC45" t="str">
        <f>IF(Week_71Games[[#This Row],[Player 2]]="","",_xlfn.XLOOKUP(Week_71Games[[#This Row],[Player 1]],Week_71[Player],Week_71[Deck]))</f>
        <v/>
      </c>
      <c r="AD45" t="str">
        <f>IF(Week_71Games[[#This Row],[Player 2]]="","",_xlfn.XLOOKUP(Week_71Games[[#This Row],[Player 2]],Week_71[Player],Week_71[Deck]))</f>
        <v/>
      </c>
    </row>
    <row r="46" spans="2:30" ht="14.25" customHeight="1" x14ac:dyDescent="0.3">
      <c r="L46" s="7"/>
      <c r="N46" s="7"/>
      <c r="O46" s="9"/>
      <c r="P46" s="9"/>
      <c r="Q46" s="9"/>
      <c r="R46" s="9"/>
      <c r="S46" s="9"/>
      <c r="T46" s="9"/>
      <c r="U46" t="str" cm="1">
        <f t="array" ref="U4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6" t="str" cm="1">
        <f t="array" ref="AA46">IF(AND(V46&lt;&gt;"",W46=""),3,_xlfn.IFS(AND(X46="",Y46=""),"",X46&gt;Y46,3,X46&lt;Y46,0,X46=Y46,1))</f>
        <v/>
      </c>
      <c r="AB46" s="16" t="str">
        <f t="shared" si="0"/>
        <v/>
      </c>
      <c r="AC46" t="str">
        <f>IF(Week_71Games[[#This Row],[Player 2]]="","",_xlfn.XLOOKUP(Week_71Games[[#This Row],[Player 1]],Week_71[Player],Week_71[Deck]))</f>
        <v/>
      </c>
      <c r="AD46" t="str">
        <f>IF(Week_71Games[[#This Row],[Player 2]]="","",_xlfn.XLOOKUP(Week_71Games[[#This Row],[Player 2]],Week_71[Player],Week_71[Deck]))</f>
        <v/>
      </c>
    </row>
    <row r="47" spans="2:30" ht="14.25" customHeight="1" x14ac:dyDescent="0.3">
      <c r="L47" s="7"/>
      <c r="N47" s="7"/>
      <c r="O47" s="9"/>
      <c r="P47" s="9"/>
      <c r="Q47" s="9"/>
      <c r="R47" s="9"/>
      <c r="S47" s="9"/>
      <c r="T47" s="9"/>
      <c r="U47" t="str" cm="1">
        <f t="array" ref="U4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7" t="str" cm="1">
        <f t="array" ref="AA47">IF(AND(V47&lt;&gt;"",W47=""),3,_xlfn.IFS(AND(X47="",Y47=""),"",X47&gt;Y47,3,X47&lt;Y47,0,X47=Y47,1))</f>
        <v/>
      </c>
      <c r="AB47" s="16" t="str">
        <f t="shared" si="0"/>
        <v/>
      </c>
      <c r="AC47" t="str">
        <f>IF(Week_71Games[[#This Row],[Player 2]]="","",_xlfn.XLOOKUP(Week_71Games[[#This Row],[Player 1]],Week_71[Player],Week_71[Deck]))</f>
        <v/>
      </c>
      <c r="AD47" t="str">
        <f>IF(Week_71Games[[#This Row],[Player 2]]="","",_xlfn.XLOOKUP(Week_71Games[[#This Row],[Player 2]],Week_71[Player],Week_71[Deck]))</f>
        <v/>
      </c>
    </row>
    <row r="48" spans="2:30" ht="14.25" customHeight="1" x14ac:dyDescent="0.3">
      <c r="L48" s="7"/>
      <c r="N48" s="7"/>
      <c r="O48" s="9"/>
      <c r="P48" s="9"/>
      <c r="Q48" s="9"/>
      <c r="R48" s="9"/>
      <c r="S48" s="9"/>
      <c r="T48" s="9"/>
      <c r="U48" t="str" cm="1">
        <f t="array" ref="U4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8" t="str" cm="1">
        <f t="array" ref="AA48">IF(AND(V48&lt;&gt;"",W48=""),3,_xlfn.IFS(AND(X48="",Y48=""),"",X48&gt;Y48,3,X48&lt;Y48,0,X48=Y48,1))</f>
        <v/>
      </c>
      <c r="AB48" s="16" t="str">
        <f t="shared" si="0"/>
        <v/>
      </c>
      <c r="AC48" t="str">
        <f>IF(Week_71Games[[#This Row],[Player 2]]="","",_xlfn.XLOOKUP(Week_71Games[[#This Row],[Player 1]],Week_71[Player],Week_71[Deck]))</f>
        <v/>
      </c>
      <c r="AD48" t="str">
        <f>IF(Week_71Games[[#This Row],[Player 2]]="","",_xlfn.XLOOKUP(Week_71Games[[#This Row],[Player 2]],Week_71[Player],Week_71[Deck]))</f>
        <v/>
      </c>
    </row>
    <row r="49" spans="14:30" ht="14.25" customHeight="1" x14ac:dyDescent="0.3">
      <c r="N49" s="7"/>
      <c r="R49" s="9"/>
      <c r="S49" s="9"/>
      <c r="T49" s="9"/>
      <c r="U49" t="str" cm="1">
        <f t="array" ref="U4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9" t="str" cm="1">
        <f t="array" ref="AA49">IF(AND(V49&lt;&gt;"",W49=""),3,_xlfn.IFS(AND(X49="",Y49=""),"",X49&gt;Y49,3,X49&lt;Y49,0,X49=Y49,1))</f>
        <v/>
      </c>
      <c r="AB49" s="16" t="str">
        <f t="shared" si="0"/>
        <v/>
      </c>
      <c r="AC49" t="str">
        <f>IF(Week_71Games[[#This Row],[Player 2]]="","",_xlfn.XLOOKUP(Week_71Games[[#This Row],[Player 1]],Week_71[Player],Week_71[Deck]))</f>
        <v/>
      </c>
      <c r="AD49" t="str">
        <f>IF(Week_71Games[[#This Row],[Player 2]]="","",_xlfn.XLOOKUP(Week_71Games[[#This Row],[Player 2]],Week_71[Player],Week_71[Deck]))</f>
        <v/>
      </c>
    </row>
    <row r="50" spans="14:30" ht="14.25" customHeight="1" x14ac:dyDescent="0.3">
      <c r="N50" s="7"/>
      <c r="R50" s="9"/>
      <c r="S50" s="9"/>
      <c r="T50" s="9"/>
      <c r="U50" t="str" cm="1">
        <f t="array" ref="U5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0" t="str" cm="1">
        <f t="array" ref="AA50">IF(AND(V50&lt;&gt;"",W50=""),3,_xlfn.IFS(AND(X50="",Y50=""),"",X50&gt;Y50,3,X50&lt;Y50,0,X50=Y50,1))</f>
        <v/>
      </c>
      <c r="AB50" s="16" t="str">
        <f t="shared" si="0"/>
        <v/>
      </c>
      <c r="AC50" t="str">
        <f>IF(Week_71Games[[#This Row],[Player 2]]="","",_xlfn.XLOOKUP(Week_71Games[[#This Row],[Player 1]],Week_71[Player],Week_71[Deck]))</f>
        <v/>
      </c>
      <c r="AD50" t="str">
        <f>IF(Week_71Games[[#This Row],[Player 2]]="","",_xlfn.XLOOKUP(Week_71Games[[#This Row],[Player 2]],Week_71[Player],Week_71[Deck]))</f>
        <v/>
      </c>
    </row>
    <row r="51" spans="14:30" ht="14.25" customHeight="1" x14ac:dyDescent="0.3">
      <c r="N51" s="7"/>
      <c r="R51" s="9"/>
      <c r="S51" s="9"/>
      <c r="T51" s="9"/>
      <c r="U51" t="str" cm="1">
        <f t="array" ref="U5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1" t="str" cm="1">
        <f t="array" ref="AA51">IF(AND(V51&lt;&gt;"",W51=""),3,_xlfn.IFS(AND(X51="",Y51=""),"",X51&gt;Y51,3,X51&lt;Y51,0,X51=Y51,1))</f>
        <v/>
      </c>
      <c r="AB51" s="16" t="str">
        <f t="shared" si="0"/>
        <v/>
      </c>
      <c r="AC51" t="str">
        <f>IF(Week_71Games[[#This Row],[Player 2]]="","",_xlfn.XLOOKUP(Week_71Games[[#This Row],[Player 1]],Week_71[Player],Week_71[Deck]))</f>
        <v/>
      </c>
      <c r="AD51" t="str">
        <f>IF(Week_71Games[[#This Row],[Player 2]]="","",_xlfn.XLOOKUP(Week_71Games[[#This Row],[Player 2]],Week_71[Player],Week_71[Deck]))</f>
        <v/>
      </c>
    </row>
    <row r="52" spans="14:30" ht="14.25" customHeight="1" x14ac:dyDescent="0.3">
      <c r="N52" s="7"/>
      <c r="R52" s="9"/>
      <c r="S52" s="9"/>
      <c r="T52" s="9"/>
      <c r="U52" t="str" cm="1">
        <f t="array" ref="U5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2" t="str" cm="1">
        <f t="array" ref="AA52">IF(AND(V52&lt;&gt;"",W52=""),3,_xlfn.IFS(AND(X52="",Y52=""),"",X52&gt;Y52,3,X52&lt;Y52,0,X52=Y52,1))</f>
        <v/>
      </c>
      <c r="AB52" s="16" t="str">
        <f t="shared" si="0"/>
        <v/>
      </c>
      <c r="AC52" t="str">
        <f>IF(Week_71Games[[#This Row],[Player 2]]="","",_xlfn.XLOOKUP(Week_71Games[[#This Row],[Player 1]],Week_71[Player],Week_71[Deck]))</f>
        <v/>
      </c>
      <c r="AD52" t="str">
        <f>IF(Week_71Games[[#This Row],[Player 2]]="","",_xlfn.XLOOKUP(Week_71Games[[#This Row],[Player 2]],Week_71[Player],Week_71[Deck]))</f>
        <v/>
      </c>
    </row>
    <row r="53" spans="14:30" ht="14.25" customHeight="1" x14ac:dyDescent="0.3">
      <c r="N53" s="7"/>
      <c r="R53" s="9"/>
      <c r="S53" s="9"/>
      <c r="T53" s="9"/>
      <c r="U53" t="str" cm="1">
        <f t="array" ref="U5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3" t="str" cm="1">
        <f t="array" ref="AA53">IF(AND(V53&lt;&gt;"",W53=""),3,_xlfn.IFS(AND(X53="",Y53=""),"",X53&gt;Y53,3,X53&lt;Y53,0,X53=Y53,1))</f>
        <v/>
      </c>
      <c r="AB53" s="16" t="str">
        <f t="shared" si="0"/>
        <v/>
      </c>
      <c r="AC53" t="str">
        <f>IF(Week_71Games[[#This Row],[Player 2]]="","",_xlfn.XLOOKUP(Week_71Games[[#This Row],[Player 1]],Week_71[Player],Week_71[Deck]))</f>
        <v/>
      </c>
      <c r="AD53" t="str">
        <f>IF(Week_71Games[[#This Row],[Player 2]]="","",_xlfn.XLOOKUP(Week_71Games[[#This Row],[Player 2]],Week_71[Player],Week_71[Deck]))</f>
        <v/>
      </c>
    </row>
    <row r="54" spans="14:30" ht="14.25" customHeight="1" x14ac:dyDescent="0.3">
      <c r="N54" s="7"/>
      <c r="R54" s="9"/>
      <c r="S54" s="9"/>
      <c r="T54" s="9"/>
      <c r="U54" t="str" cm="1">
        <f t="array" ref="U5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4" t="str" cm="1">
        <f t="array" ref="AA54">IF(AND(V54&lt;&gt;"",W54=""),3,_xlfn.IFS(AND(X54="",Y54=""),"",X54&gt;Y54,3,X54&lt;Y54,0,X54=Y54,1))</f>
        <v/>
      </c>
      <c r="AB54" s="16" t="str">
        <f t="shared" si="0"/>
        <v/>
      </c>
      <c r="AC54" t="str">
        <f>IF(Week_71Games[[#This Row],[Player 2]]="","",_xlfn.XLOOKUP(Week_71Games[[#This Row],[Player 1]],Week_71[Player],Week_71[Deck]))</f>
        <v/>
      </c>
      <c r="AD54" t="str">
        <f>IF(Week_71Games[[#This Row],[Player 2]]="","",_xlfn.XLOOKUP(Week_71Games[[#This Row],[Player 2]],Week_71[Player],Week_71[Deck]))</f>
        <v/>
      </c>
    </row>
    <row r="55" spans="14:30" ht="14.25" customHeight="1" x14ac:dyDescent="0.3">
      <c r="N55" s="7"/>
      <c r="R55" s="9"/>
      <c r="S55" s="9"/>
      <c r="T55" s="9"/>
      <c r="U55" t="str" cm="1">
        <f t="array" ref="U5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5" t="str" cm="1">
        <f t="array" ref="AA55">IF(AND(V55&lt;&gt;"",W55=""),3,_xlfn.IFS(AND(X55="",Y55=""),"",X55&gt;Y55,3,X55&lt;Y55,0,X55=Y55,1))</f>
        <v/>
      </c>
      <c r="AB55" s="16" t="str">
        <f t="shared" si="0"/>
        <v/>
      </c>
      <c r="AC55" t="str">
        <f>IF(Week_71Games[[#This Row],[Player 2]]="","",_xlfn.XLOOKUP(Week_71Games[[#This Row],[Player 1]],Week_71[Player],Week_71[Deck]))</f>
        <v/>
      </c>
      <c r="AD55" t="str">
        <f>IF(Week_71Games[[#This Row],[Player 2]]="","",_xlfn.XLOOKUP(Week_71Games[[#This Row],[Player 2]],Week_71[Player],Week_71[Deck]))</f>
        <v/>
      </c>
    </row>
    <row r="56" spans="14:30" ht="14.25" customHeight="1" x14ac:dyDescent="0.3">
      <c r="N56" s="7"/>
      <c r="R56" s="9"/>
      <c r="S56" s="9"/>
      <c r="T56" s="9"/>
      <c r="U56" t="str" cm="1">
        <f t="array" ref="U5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6" t="str" cm="1">
        <f t="array" ref="AA56">IF(AND(V56&lt;&gt;"",W56=""),3,_xlfn.IFS(AND(X56="",Y56=""),"",X56&gt;Y56,3,X56&lt;Y56,0,X56=Y56,1))</f>
        <v/>
      </c>
      <c r="AB56" s="16" t="str">
        <f t="shared" si="0"/>
        <v/>
      </c>
      <c r="AC56" t="str">
        <f>IF(Week_71Games[[#This Row],[Player 2]]="","",_xlfn.XLOOKUP(Week_71Games[[#This Row],[Player 1]],Week_71[Player],Week_71[Deck]))</f>
        <v/>
      </c>
      <c r="AD56" t="str">
        <f>IF(Week_71Games[[#This Row],[Player 2]]="","",_xlfn.XLOOKUP(Week_71Games[[#This Row],[Player 2]],Week_71[Player],Week_71[Deck]))</f>
        <v/>
      </c>
    </row>
    <row r="57" spans="14:30" ht="14.25" customHeight="1" x14ac:dyDescent="0.3">
      <c r="N57" s="7"/>
      <c r="R57" s="9"/>
      <c r="S57" s="9"/>
      <c r="T57" s="9"/>
      <c r="U57" t="str" cm="1">
        <f t="array" ref="U5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7" t="str" cm="1">
        <f t="array" ref="AA57">IF(AND(V57&lt;&gt;"",W57=""),3,_xlfn.IFS(AND(X57="",Y57=""),"",X57&gt;Y57,3,X57&lt;Y57,0,X57=Y57,1))</f>
        <v/>
      </c>
      <c r="AB57" s="16" t="str">
        <f t="shared" si="0"/>
        <v/>
      </c>
      <c r="AC57" t="str">
        <f>IF(Week_71Games[[#This Row],[Player 2]]="","",_xlfn.XLOOKUP(Week_71Games[[#This Row],[Player 1]],Week_71[Player],Week_71[Deck]))</f>
        <v/>
      </c>
      <c r="AD57" t="str">
        <f>IF(Week_71Games[[#This Row],[Player 2]]="","",_xlfn.XLOOKUP(Week_71Games[[#This Row],[Player 2]],Week_71[Player],Week_71[Deck]))</f>
        <v/>
      </c>
    </row>
    <row r="58" spans="14:30" ht="14.25" customHeight="1" x14ac:dyDescent="0.3">
      <c r="N58" s="7"/>
      <c r="R58" s="9"/>
      <c r="S58" s="9"/>
      <c r="T58" s="9"/>
      <c r="U58" t="str" cm="1">
        <f t="array" ref="U5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8" t="str" cm="1">
        <f t="array" ref="AA58">IF(AND(V58&lt;&gt;"",W58=""),3,_xlfn.IFS(AND(X58="",Y58=""),"",X58&gt;Y58,3,X58&lt;Y58,0,X58=Y58,1))</f>
        <v/>
      </c>
      <c r="AB58" s="16" t="str">
        <f t="shared" si="0"/>
        <v/>
      </c>
      <c r="AC58" t="str">
        <f>IF(Week_71Games[[#This Row],[Player 2]]="","",_xlfn.XLOOKUP(Week_71Games[[#This Row],[Player 1]],Week_71[Player],Week_71[Deck]))</f>
        <v/>
      </c>
      <c r="AD58" t="str">
        <f>IF(Week_71Games[[#This Row],[Player 2]]="","",_xlfn.XLOOKUP(Week_71Games[[#This Row],[Player 2]],Week_71[Player],Week_71[Deck]))</f>
        <v/>
      </c>
    </row>
    <row r="59" spans="14:30" ht="14.25" customHeight="1" x14ac:dyDescent="0.3">
      <c r="N59" s="7"/>
      <c r="R59" s="9"/>
      <c r="S59" s="9"/>
      <c r="T59" s="9"/>
      <c r="U59" t="str" cm="1">
        <f t="array" ref="U5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9" t="str" cm="1">
        <f t="array" ref="AA59">IF(AND(V59&lt;&gt;"",W59=""),3,_xlfn.IFS(AND(X59="",Y59=""),"",X59&gt;Y59,3,X59&lt;Y59,0,X59=Y59,1))</f>
        <v/>
      </c>
      <c r="AB59" s="16" t="str">
        <f t="shared" si="0"/>
        <v/>
      </c>
      <c r="AC59" t="str">
        <f>IF(Week_71Games[[#This Row],[Player 2]]="","",_xlfn.XLOOKUP(Week_71Games[[#This Row],[Player 1]],Week_71[Player],Week_71[Deck]))</f>
        <v/>
      </c>
      <c r="AD59" t="str">
        <f>IF(Week_71Games[[#This Row],[Player 2]]="","",_xlfn.XLOOKUP(Week_71Games[[#This Row],[Player 2]],Week_71[Player],Week_71[Deck]))</f>
        <v/>
      </c>
    </row>
    <row r="60" spans="14:30" ht="14.25" customHeight="1" x14ac:dyDescent="0.3">
      <c r="N60" s="7"/>
      <c r="R60" s="9"/>
      <c r="S60" s="9"/>
      <c r="T60" s="9"/>
      <c r="U60" t="str" cm="1">
        <f t="array" ref="U6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0" t="str" cm="1">
        <f t="array" ref="AA60">IF(AND(V60&lt;&gt;"",W60=""),3,_xlfn.IFS(AND(X60="",Y60=""),"",X60&gt;Y60,3,X60&lt;Y60,0,X60=Y60,1))</f>
        <v/>
      </c>
      <c r="AB60" s="16" t="str">
        <f t="shared" si="0"/>
        <v/>
      </c>
      <c r="AC60" t="str">
        <f>IF(Week_71Games[[#This Row],[Player 2]]="","",_xlfn.XLOOKUP(Week_71Games[[#This Row],[Player 1]],Week_71[Player],Week_71[Deck]))</f>
        <v/>
      </c>
      <c r="AD60" t="str">
        <f>IF(Week_71Games[[#This Row],[Player 2]]="","",_xlfn.XLOOKUP(Week_71Games[[#This Row],[Player 2]],Week_71[Player],Week_71[Deck]))</f>
        <v/>
      </c>
    </row>
    <row r="61" spans="14:30" ht="14.25" customHeight="1" x14ac:dyDescent="0.3">
      <c r="N61" s="7"/>
      <c r="R61" s="9"/>
      <c r="S61" s="9"/>
      <c r="T61" s="9"/>
      <c r="U61" t="str" cm="1">
        <f t="array" ref="U6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1" t="str" cm="1">
        <f t="array" ref="AA61">IF(AND(V61&lt;&gt;"",W61=""),3,_xlfn.IFS(AND(X61="",Y61=""),"",X61&gt;Y61,3,X61&lt;Y61,0,X61=Y61,1))</f>
        <v/>
      </c>
      <c r="AB61" s="16" t="str">
        <f t="shared" si="0"/>
        <v/>
      </c>
      <c r="AC61" t="str">
        <f>IF(Week_71Games[[#This Row],[Player 2]]="","",_xlfn.XLOOKUP(Week_71Games[[#This Row],[Player 1]],Week_71[Player],Week_71[Deck]))</f>
        <v/>
      </c>
      <c r="AD61" t="str">
        <f>IF(Week_71Games[[#This Row],[Player 2]]="","",_xlfn.XLOOKUP(Week_71Games[[#This Row],[Player 2]],Week_71[Player],Week_71[Deck]))</f>
        <v/>
      </c>
    </row>
    <row r="62" spans="14:30" ht="14.25" customHeight="1" x14ac:dyDescent="0.3">
      <c r="N62" s="7"/>
      <c r="R62" s="9"/>
      <c r="S62" s="9"/>
      <c r="T62" s="9"/>
      <c r="U62" t="str" cm="1">
        <f t="array" ref="U6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2" t="str" cm="1">
        <f t="array" ref="AA62">IF(AND(V62&lt;&gt;"",W62=""),3,_xlfn.IFS(AND(X62="",Y62=""),"",X62&gt;Y62,3,X62&lt;Y62,0,X62=Y62,1))</f>
        <v/>
      </c>
      <c r="AB62" s="16" t="str">
        <f t="shared" si="0"/>
        <v/>
      </c>
      <c r="AC62" t="str">
        <f>IF(Week_71Games[[#This Row],[Player 2]]="","",_xlfn.XLOOKUP(Week_71Games[[#This Row],[Player 1]],Week_71[Player],Week_71[Deck]))</f>
        <v/>
      </c>
      <c r="AD62" t="str">
        <f>IF(Week_71Games[[#This Row],[Player 2]]="","",_xlfn.XLOOKUP(Week_71Games[[#This Row],[Player 2]],Week_71[Player],Week_71[Deck]))</f>
        <v/>
      </c>
    </row>
    <row r="63" spans="14:30" ht="14.25" customHeight="1" x14ac:dyDescent="0.3">
      <c r="N63" s="7"/>
      <c r="R63" s="9"/>
      <c r="S63" s="9"/>
      <c r="T63" s="9"/>
      <c r="U63" t="str" cm="1">
        <f t="array" ref="U6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3" t="str" cm="1">
        <f t="array" ref="AA63">IF(AND(V63&lt;&gt;"",W63=""),3,_xlfn.IFS(AND(X63="",Y63=""),"",X63&gt;Y63,3,X63&lt;Y63,0,X63=Y63,1))</f>
        <v/>
      </c>
      <c r="AB63" s="16" t="str">
        <f t="shared" si="0"/>
        <v/>
      </c>
      <c r="AC63" t="str">
        <f>IF(Week_71Games[[#This Row],[Player 2]]="","",_xlfn.XLOOKUP(Week_71Games[[#This Row],[Player 1]],Week_71[Player],Week_71[Deck]))</f>
        <v/>
      </c>
      <c r="AD63" t="str">
        <f>IF(Week_71Games[[#This Row],[Player 2]]="","",_xlfn.XLOOKUP(Week_71Games[[#This Row],[Player 2]],Week_71[Player],Week_71[Deck]))</f>
        <v/>
      </c>
    </row>
    <row r="64" spans="14:30" ht="14.25" customHeight="1" x14ac:dyDescent="0.3">
      <c r="N64" s="7"/>
      <c r="R64" s="9"/>
      <c r="S64" s="9"/>
      <c r="T64" s="9"/>
      <c r="U64" t="str" cm="1">
        <f t="array" ref="U6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4" t="str" cm="1">
        <f t="array" ref="AA64">IF(AND(V64&lt;&gt;"",W64=""),3,_xlfn.IFS(AND(X64="",Y64=""),"",X64&gt;Y64,3,X64&lt;Y64,0,X64=Y64,1))</f>
        <v/>
      </c>
      <c r="AB64" s="16" t="str">
        <f t="shared" si="0"/>
        <v/>
      </c>
      <c r="AC64" t="str">
        <f>IF(Week_71Games[[#This Row],[Player 2]]="","",_xlfn.XLOOKUP(Week_71Games[[#This Row],[Player 1]],Week_71[Player],Week_71[Deck]))</f>
        <v/>
      </c>
      <c r="AD64" t="str">
        <f>IF(Week_71Games[[#This Row],[Player 2]]="","",_xlfn.XLOOKUP(Week_71Games[[#This Row],[Player 2]],Week_71[Player],Week_71[Deck]))</f>
        <v/>
      </c>
    </row>
    <row r="65" spans="14:30" ht="14.25" customHeight="1" x14ac:dyDescent="0.3">
      <c r="N65" s="7"/>
      <c r="R65" s="9"/>
      <c r="S65" s="9"/>
      <c r="T65" s="9"/>
      <c r="U65" t="str" cm="1">
        <f t="array" ref="U6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5" t="str" cm="1">
        <f t="array" ref="AA65">IF(AND(V65&lt;&gt;"",W65=""),3,_xlfn.IFS(AND(X65="",Y65=""),"",X65&gt;Y65,3,X65&lt;Y65,0,X65=Y65,1))</f>
        <v/>
      </c>
      <c r="AB65" s="16" t="str">
        <f t="shared" si="0"/>
        <v/>
      </c>
      <c r="AC65" t="str">
        <f>IF(Week_71Games[[#This Row],[Player 2]]="","",_xlfn.XLOOKUP(Week_71Games[[#This Row],[Player 1]],Week_71[Player],Week_71[Deck]))</f>
        <v/>
      </c>
      <c r="AD65" t="str">
        <f>IF(Week_71Games[[#This Row],[Player 2]]="","",_xlfn.XLOOKUP(Week_71Games[[#This Row],[Player 2]],Week_71[Player],Week_71[Deck]))</f>
        <v/>
      </c>
    </row>
    <row r="66" spans="14:30" ht="14.25" customHeight="1" x14ac:dyDescent="0.3">
      <c r="N66" s="7"/>
      <c r="R66" s="9"/>
      <c r="S66" s="9"/>
      <c r="T66" s="9"/>
      <c r="U66" t="str" cm="1">
        <f t="array" ref="U6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6" t="str" cm="1">
        <f t="array" ref="AA66">IF(AND(V66&lt;&gt;"",W66=""),3,_xlfn.IFS(AND(X66="",Y66=""),"",X66&gt;Y66,3,X66&lt;Y66,0,X66=Y66,1))</f>
        <v/>
      </c>
      <c r="AB66" s="16" t="str">
        <f t="shared" ref="AB66:AB75" si="1">IF(W66="", "", IF(X66=Y66, 1, IF(X66&lt;Y66, 3, IF(X66&gt;Y66, 0, ""))))</f>
        <v/>
      </c>
      <c r="AC66" t="str">
        <f>IF(Week_71Games[[#This Row],[Player 2]]="","",_xlfn.XLOOKUP(Week_71Games[[#This Row],[Player 1]],Week_71[Player],Week_71[Deck]))</f>
        <v/>
      </c>
      <c r="AD66" t="str">
        <f>IF(Week_71Games[[#This Row],[Player 2]]="","",_xlfn.XLOOKUP(Week_71Games[[#This Row],[Player 2]],Week_71[Player],Week_71[Deck]))</f>
        <v/>
      </c>
    </row>
    <row r="67" spans="14:30" ht="14.25" customHeight="1" x14ac:dyDescent="0.3">
      <c r="N67" s="7"/>
      <c r="R67" s="9"/>
      <c r="S67" s="9"/>
      <c r="T67" s="9"/>
      <c r="U67" t="str" cm="1">
        <f t="array" ref="U6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7" t="str" cm="1">
        <f t="array" ref="AA67">IF(AND(V67&lt;&gt;"",W67=""),3,_xlfn.IFS(AND(X67="",Y67=""),"",X67&gt;Y67,3,X67&lt;Y67,0,X67=Y67,1))</f>
        <v/>
      </c>
      <c r="AB67" s="16" t="str">
        <f t="shared" si="1"/>
        <v/>
      </c>
      <c r="AC67" t="str">
        <f>IF(Week_71Games[[#This Row],[Player 2]]="","",_xlfn.XLOOKUP(Week_71Games[[#This Row],[Player 1]],Week_71[Player],Week_71[Deck]))</f>
        <v/>
      </c>
      <c r="AD67" t="str">
        <f>IF(Week_71Games[[#This Row],[Player 2]]="","",_xlfn.XLOOKUP(Week_71Games[[#This Row],[Player 2]],Week_71[Player],Week_71[Deck]))</f>
        <v/>
      </c>
    </row>
    <row r="68" spans="14:30" ht="14.25" customHeight="1" x14ac:dyDescent="0.3">
      <c r="N68" s="7"/>
      <c r="R68" s="9"/>
      <c r="S68" s="9"/>
      <c r="T68" s="9"/>
      <c r="U68" s="24" t="str" cm="1">
        <f t="array" ref="U6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V68" s="24"/>
      <c r="W68" s="24"/>
      <c r="X68" s="24"/>
      <c r="Y68" s="24"/>
      <c r="Z68" s="24"/>
      <c r="AA68" t="str" cm="1">
        <f t="array" ref="AA68">IF(AND(V68&lt;&gt;"",W68=""),3,_xlfn.IFS(AND(X68="",Y68=""),"",X68&gt;Y68,3,X68&lt;Y68,0,X68=Y68,1))</f>
        <v/>
      </c>
      <c r="AB68" s="25" t="str">
        <f t="shared" si="1"/>
        <v/>
      </c>
      <c r="AC68" t="str">
        <f>IF(Week_71Games[[#This Row],[Player 2]]="","",_xlfn.XLOOKUP(Week_71Games[[#This Row],[Player 1]],Week_71[Player],Week_71[Deck]))</f>
        <v/>
      </c>
      <c r="AD68" t="str">
        <f>IF(Week_71Games[[#This Row],[Player 2]]="","",_xlfn.XLOOKUP(Week_71Games[[#This Row],[Player 2]],Week_71[Player],Week_71[Deck]))</f>
        <v/>
      </c>
    </row>
  </sheetData>
  <conditionalFormatting sqref="C1:C1048576">
    <cfRule type="cellIs" priority="2" stopIfTrue="1" operator="equal">
      <formula>-1</formula>
    </cfRule>
    <cfRule type="colorScale" priority="3">
      <colorScale>
        <cfvo type="min"/>
        <cfvo type="percent" val="50"/>
        <cfvo type="max"/>
        <color rgb="FFF8696B"/>
        <color rgb="FFFFEB84"/>
        <color rgb="FF63BE7B"/>
      </colorScale>
    </cfRule>
  </conditionalFormatting>
  <conditionalFormatting sqref="U1:AD68">
    <cfRule type="expression" dxfId="22" priority="1">
      <formula>LEFT($U1,5)="Round"</formula>
    </cfRule>
  </conditionalFormatting>
  <dataValidations count="3">
    <dataValidation type="list" allowBlank="1" showErrorMessage="1" sqref="B2:B33" xr:uid="{2E81B43E-4B13-4A99-AA5A-661829D12CE1}">
      <formula1>INDIRECT("masterdeck[deck]")</formula1>
    </dataValidation>
    <dataValidation type="list" allowBlank="1" showInputMessage="1" showErrorMessage="1" sqref="A2:A33" xr:uid="{7EA2D8AE-D828-4942-A8F5-E6EBC02AFF1A}">
      <formula1>INDIRECT("mastername[name]")</formula1>
    </dataValidation>
    <dataValidation type="list" allowBlank="1" showErrorMessage="1" sqref="V2:W68" xr:uid="{48B78EA4-CA23-46D7-876C-CADB6A577B46}">
      <formula1>$A:$A</formula1>
    </dataValidation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241F-DFDB-449A-975A-1009B598F9D3}">
  <sheetPr>
    <tabColor theme="7"/>
  </sheetPr>
  <dimension ref="A1:AD68"/>
  <sheetViews>
    <sheetView zoomScaleNormal="100" workbookViewId="0">
      <selection activeCell="B24" sqref="B24"/>
    </sheetView>
  </sheetViews>
  <sheetFormatPr defaultColWidth="14.44140625" defaultRowHeight="14.25" customHeight="1" x14ac:dyDescent="0.3"/>
  <cols>
    <col min="1" max="1" width="20.6640625" customWidth="1"/>
    <col min="2" max="2" width="24.33203125" bestFit="1" customWidth="1"/>
    <col min="3" max="3" width="14.44140625" style="20" customWidth="1"/>
    <col min="4" max="4" width="9.6640625" style="21" hidden="1" customWidth="1"/>
    <col min="5" max="5" width="6.5546875" style="21" hidden="1" customWidth="1"/>
    <col min="6" max="6" width="6.6640625" style="21" hidden="1" customWidth="1"/>
    <col min="7" max="7" width="7.5546875" style="21" hidden="1" customWidth="1"/>
    <col min="8" max="8" width="7.109375" style="22" hidden="1" customWidth="1"/>
    <col min="9" max="9" width="9.5546875" style="22" hidden="1" customWidth="1"/>
    <col min="10" max="10" width="14.44140625" style="5" customWidth="1"/>
    <col min="11" max="11" width="9.5546875" style="23" customWidth="1"/>
    <col min="12" max="12" width="8.88671875" style="23" customWidth="1"/>
    <col min="13" max="13" width="9" style="17" bestFit="1" customWidth="1"/>
    <col min="14" max="14" width="8.33203125" bestFit="1" customWidth="1"/>
    <col min="15" max="15" width="13.44140625" style="18" hidden="1" customWidth="1"/>
    <col min="16" max="16" width="9.44140625" style="18" bestFit="1" customWidth="1"/>
    <col min="17" max="17" width="10.6640625" style="18" customWidth="1"/>
    <col min="18" max="18" width="12.33203125" bestFit="1" customWidth="1"/>
    <col min="19" max="19" width="11.44140625" bestFit="1" customWidth="1"/>
    <col min="20" max="20" width="8.6640625" customWidth="1"/>
    <col min="21" max="21" width="7.88671875" bestFit="1" customWidth="1"/>
    <col min="22" max="23" width="20.6640625" customWidth="1"/>
    <col min="24" max="25" width="7.6640625" bestFit="1" customWidth="1"/>
    <col min="26" max="26" width="6.33203125" bestFit="1" customWidth="1"/>
    <col min="27" max="28" width="9" bestFit="1" customWidth="1"/>
    <col min="29" max="30" width="16.44140625" hidden="1" customWidth="1"/>
  </cols>
  <sheetData>
    <row r="1" spans="1:30" ht="14.25" customHeight="1" x14ac:dyDescent="0.35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7" t="s">
        <v>13</v>
      </c>
      <c r="O1" s="9" t="s">
        <v>14</v>
      </c>
      <c r="P1" s="9" t="s">
        <v>15</v>
      </c>
      <c r="Q1" s="9"/>
      <c r="R1" s="1" t="s">
        <v>16</v>
      </c>
      <c r="S1" s="10">
        <v>45897</v>
      </c>
      <c r="T1" s="11"/>
      <c r="U1" s="12" t="s">
        <v>17</v>
      </c>
      <c r="V1" s="13" t="s">
        <v>18</v>
      </c>
      <c r="W1" s="14" t="s">
        <v>19</v>
      </c>
      <c r="X1" s="13" t="s">
        <v>20</v>
      </c>
      <c r="Y1" s="14" t="s">
        <v>21</v>
      </c>
      <c r="Z1" s="14" t="s">
        <v>22</v>
      </c>
      <c r="AA1" s="13" t="s">
        <v>23</v>
      </c>
      <c r="AB1" s="15" t="s">
        <v>24</v>
      </c>
      <c r="AC1" t="s">
        <v>25</v>
      </c>
      <c r="AD1" t="s">
        <v>26</v>
      </c>
    </row>
    <row r="2" spans="1:30" ht="14.25" customHeight="1" x14ac:dyDescent="0.3">
      <c r="A2" t="s">
        <v>27</v>
      </c>
      <c r="B2" s="1" t="s">
        <v>28</v>
      </c>
      <c r="C2" s="2">
        <f>IF(ISBLANK(Week_72[[#This Row],[Player]]),-1,SUMIF(V:V,Week_72[[#This Row],[Player]],AA:AA)+SUMIF(W:W,Week_72[[#This Row],[Player]],AB:AB))</f>
        <v>9</v>
      </c>
      <c r="D2" s="3" cm="1">
        <f t="array" ref="D2">_xlfn.IFS(Week_72[[#This Row],[Points]]=S$4+3,4,Week_72[[#This Row],[Points]]&gt;S$4,3,Week_72[[#This Row],[Points]]=S$4,2,Week_72[[#This Row],[Points]]&lt;S$4,"")</f>
        <v>2</v>
      </c>
      <c r="E2" s="3">
        <f>IF(ISBLANK(Week_72[[#This Row],[Player]]),"",COUNTIFS(AA:AB,3,V:W,Week_72[[#This Row],[Player]]))</f>
        <v>3</v>
      </c>
      <c r="F2" s="3">
        <f>IF(ISBLANK(Week_72[[#This Row],[Player]]),"",COUNTIFS(AA:AB,0,V:W,Week_72[[#This Row],[Player]]))</f>
        <v>1</v>
      </c>
      <c r="G2" s="3">
        <f>IF(ISBLANK(Week_72[[#This Row],[Player]]),"",COUNTIFS(AA:AB,1,V:W,Week_72[[#This Row],[Player]]))</f>
        <v>0</v>
      </c>
      <c r="H2" s="4">
        <f>IF(ISBLANK(Week_72[[#This Row],[Player]]),"",COUNTIFS(V:V,Week_72[[#This Row],[Player]],W:W,""))</f>
        <v>0</v>
      </c>
      <c r="I2" s="4">
        <f>IF(ISBLANK(Week_72[[#This Row],[Player]]),"",COUNTIF(V:W,Week_72[[#This Row],[Player]]))</f>
        <v>4</v>
      </c>
      <c r="J2" s="5" t="str">
        <f>IF(ISBLANK(Week_72[[#This Row],[Player]]),"",Week_72[[#This Row],[Win]]&amp;"-"&amp;Week_72[[#This Row],[Loss]]&amp;"-"&amp;Week_72[[#This Row],[Draw]])</f>
        <v>3-1-0</v>
      </c>
      <c r="K2" s="6" cm="1">
        <f t="array" ref="K2">IF(ISBLANK(Week_72[[#This Row],[Player]]),"",(AVERAGE(_xlfn.XLOOKUP(_xlfn.VSTACK(_xlfn._xlws.FILTER(W:W,V:V=Week_72[[#This Row],[Player]],""),_xlfn._xlws.FILTER(V:V,W:W=Week_72[[#This Row],[Player]],"")), Week_72[Player], Week_72[MW%], ""))))</f>
        <v>0.625</v>
      </c>
      <c r="L2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0.7</v>
      </c>
      <c r="M2" s="8" cm="1">
        <f t="array" ref="M2">IF(ISBLANK(Week_72[[#This Row],[Player]]),"",(AVERAGE(_xlfn.XLOOKUP(_xlfn.VSTACK(_xlfn._xlws.FILTER(W:W,V:V=Week_72[[#This Row],[Player]],""),_xlfn._xlws.FILTER(V:V,W:W=Week_72[[#This Row],[Player]],"")), Week_72[Player], Week_72[GW%], ""))))</f>
        <v>0.55909090909090908</v>
      </c>
      <c r="N2" s="7">
        <f>IF(ISBLANK(Week_72[[#This Row],[Player]]),"",MAX((1/3),IFERROR(Week_72[[#This Row],[Points]]/(Week_72[[#This Row],[Rounds]]*3),"")))</f>
        <v>0.75</v>
      </c>
      <c r="O2"/>
      <c r="P2" s="9">
        <f>IF(Week_72[[#This Row],[Points]]&gt;=S$4,S$5*Week_72[[#This Row],[calcWin]]/SUM(Week_72[calcWin])+Week_72[[#This Row],[OMF Bonus]],IF(Week_72[[#This Row],[OMF Bonus]]&gt;0,Week_72[[#This Row],[OMF Bonus]],""))</f>
        <v>250</v>
      </c>
      <c r="Q2" s="9"/>
      <c r="R2" t="s">
        <v>29</v>
      </c>
      <c r="S2">
        <f>COUNTA(_xlfn.UNIQUE(A:A))-2</f>
        <v>11</v>
      </c>
      <c r="U2" t="str" cm="1">
        <f t="array" ref="U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1</v>
      </c>
      <c r="V2" s="1" t="s">
        <v>30</v>
      </c>
      <c r="W2" s="1" t="s">
        <v>31</v>
      </c>
      <c r="X2" s="1">
        <v>0</v>
      </c>
      <c r="Y2" s="1">
        <v>2</v>
      </c>
      <c r="Z2">
        <v>0</v>
      </c>
      <c r="AA2" cm="1">
        <f t="array" ref="AA2">IF(AND(V2&lt;&gt;"",W2=""),3,_xlfn.IFS(AND(X2="",Y2=""),"",X2&gt;Y2,3,X2&lt;Y2,0,X2=Y2,1))</f>
        <v>0</v>
      </c>
      <c r="AB2" s="16">
        <f t="shared" ref="AB2:AB65" si="0">IF(W2="", "", IF(X2=Y2, 1, IF(X2&lt;Y2, 3, IF(X2&gt;Y2, 0, ""))))</f>
        <v>3</v>
      </c>
      <c r="AC2" t="str">
        <f>IF(Week_72Games[[#This Row],[Player 2]]="","",_xlfn.XLOOKUP(Week_72Games[[#This Row],[Player 1]],Week_72[Player],Week_72[Deck]))</f>
        <v>Cloudpost</v>
      </c>
      <c r="AD2" t="str">
        <f>IF(Week_72Games[[#This Row],[Player 2]]="","",_xlfn.XLOOKUP(Week_72Games[[#This Row],[Player 2]],Week_72[Player],Week_72[Deck]))</f>
        <v>Nazu Wizards</v>
      </c>
    </row>
    <row r="3" spans="1:30" ht="14.25" customHeight="1" x14ac:dyDescent="0.3">
      <c r="A3" t="s">
        <v>32</v>
      </c>
      <c r="B3" s="1" t="s">
        <v>33</v>
      </c>
      <c r="C3" s="2">
        <f>IF(ISBLANK(Week_72[[#This Row],[Player]]),-1,SUMIF(V:V,Week_72[[#This Row],[Player]],AA:AA)+SUMIF(W:W,Week_72[[#This Row],[Player]],AB:AB))</f>
        <v>9</v>
      </c>
      <c r="D3" s="3" cm="1">
        <f t="array" ref="D3">_xlfn.IFS(Week_72[[#This Row],[Points]]=S$4+3,4,Week_72[[#This Row],[Points]]&gt;S$4,3,Week_72[[#This Row],[Points]]=S$4,2,Week_72[[#This Row],[Points]]&lt;S$4,"")</f>
        <v>2</v>
      </c>
      <c r="E3" s="3">
        <f>IF(ISBLANK(Week_72[[#This Row],[Player]]),"",COUNTIFS(AA:AB,3,V:W,Week_72[[#This Row],[Player]]))</f>
        <v>3</v>
      </c>
      <c r="F3" s="3">
        <f>IF(ISBLANK(Week_72[[#This Row],[Player]]),"",COUNTIFS(AA:AB,0,V:W,Week_72[[#This Row],[Player]]))</f>
        <v>1</v>
      </c>
      <c r="G3" s="3">
        <f>IF(ISBLANK(Week_72[[#This Row],[Player]]),"",COUNTIFS(AA:AB,1,V:W,Week_72[[#This Row],[Player]]))</f>
        <v>0</v>
      </c>
      <c r="H3" s="4">
        <f>IF(ISBLANK(Week_72[[#This Row],[Player]]),"",COUNTIFS(V:V,Week_72[[#This Row],[Player]],W:W,""))</f>
        <v>0</v>
      </c>
      <c r="I3" s="4">
        <f>IF(ISBLANK(Week_72[[#This Row],[Player]]),"",COUNTIF(V:W,Week_72[[#This Row],[Player]]))</f>
        <v>4</v>
      </c>
      <c r="J3" s="5" t="str">
        <f>IF(ISBLANK(Week_72[[#This Row],[Player]]),"",Week_72[[#This Row],[Win]]&amp;"-"&amp;Week_72[[#This Row],[Loss]]&amp;"-"&amp;Week_72[[#This Row],[Draw]])</f>
        <v>3-1-0</v>
      </c>
      <c r="K3" s="6" cm="1">
        <f t="array" ref="K3">IF(ISBLANK(Week_72[[#This Row],[Player]]),"",(AVERAGE(_xlfn.XLOOKUP(_xlfn.VSTACK(_xlfn._xlws.FILTER(W:W,V:V=Week_72[[#This Row],[Player]],""),_xlfn._xlws.FILTER(V:V,W:W=Week_72[[#This Row],[Player]],"")), Week_72[Player], Week_72[MW%], ""))))</f>
        <v>0.625</v>
      </c>
      <c r="L3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0.63636363636363635</v>
      </c>
      <c r="M3" s="8" cm="1">
        <f t="array" ref="M3">IF(ISBLANK(Week_72[[#This Row],[Player]]),"",(AVERAGE(_xlfn.XLOOKUP(_xlfn.VSTACK(_xlfn._xlws.FILTER(W:W,V:V=Week_72[[#This Row],[Player]],""),_xlfn._xlws.FILTER(V:V,W:W=Week_72[[#This Row],[Player]],"")), Week_72[Player], Week_72[GW%], ""))))</f>
        <v>0.59545454545454546</v>
      </c>
      <c r="N3" s="7">
        <f>IF(ISBLANK(Week_72[[#This Row],[Player]]),"",MAX((1/3),IFERROR(Week_72[[#This Row],[Points]]/(Week_72[[#This Row],[Rounds]]*3),"")))</f>
        <v>0.75</v>
      </c>
      <c r="O3"/>
      <c r="P3" s="9">
        <f>IF(Week_72[[#This Row],[Points]]&gt;=S$4,S$5*Week_72[[#This Row],[calcWin]]/SUM(Week_72[calcWin])+Week_72[[#This Row],[OMF Bonus]],IF(Week_72[[#This Row],[OMF Bonus]]&gt;0,Week_72[[#This Row],[OMF Bonus]],""))</f>
        <v>250</v>
      </c>
      <c r="Q3" s="9"/>
      <c r="R3" s="17" t="s">
        <v>34</v>
      </c>
      <c r="S3">
        <f>MIN(CEILING(LOG(S2, 2), 1),4)</f>
        <v>4</v>
      </c>
      <c r="T3" s="1"/>
      <c r="U3" t="str" cm="1">
        <f t="array" ref="U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2</v>
      </c>
      <c r="V3" s="1" t="s">
        <v>27</v>
      </c>
      <c r="W3" s="1" t="s">
        <v>32</v>
      </c>
      <c r="X3" s="1">
        <v>1</v>
      </c>
      <c r="Y3" s="1">
        <v>2</v>
      </c>
      <c r="Z3">
        <v>0</v>
      </c>
      <c r="AA3" cm="1">
        <f t="array" ref="AA3">IF(AND(V3&lt;&gt;"",W3=""),3,_xlfn.IFS(AND(X3="",Y3=""),"",X3&gt;Y3,3,X3&lt;Y3,0,X3=Y3,1))</f>
        <v>0</v>
      </c>
      <c r="AB3" s="16">
        <f t="shared" si="0"/>
        <v>3</v>
      </c>
      <c r="AC3" t="str">
        <f>IF(Week_72Games[[#This Row],[Player 2]]="","",_xlfn.XLOOKUP(Week_72Games[[#This Row],[Player 1]],Week_72[Player],Week_72[Deck]))</f>
        <v>Lands</v>
      </c>
      <c r="AD3" t="str">
        <f>IF(Week_72Games[[#This Row],[Player 2]]="","",_xlfn.XLOOKUP(Week_72Games[[#This Row],[Player 2]],Week_72[Player],Week_72[Deck]))</f>
        <v>Rx Painter</v>
      </c>
    </row>
    <row r="4" spans="1:30" ht="14.25" customHeight="1" x14ac:dyDescent="0.3">
      <c r="A4" t="s">
        <v>35</v>
      </c>
      <c r="B4" s="1" t="s">
        <v>36</v>
      </c>
      <c r="C4" s="2">
        <f>IF(ISBLANK(Week_72[[#This Row],[Player]]),-1,SUMIF(V:V,Week_72[[#This Row],[Player]],AA:AA)+SUMIF(W:W,Week_72[[#This Row],[Player]],AB:AB))</f>
        <v>9</v>
      </c>
      <c r="D4" s="3" cm="1">
        <f t="array" ref="D4">_xlfn.IFS(Week_72[[#This Row],[Points]]=S$4+3,4,Week_72[[#This Row],[Points]]&gt;S$4,3,Week_72[[#This Row],[Points]]=S$4,2,Week_72[[#This Row],[Points]]&lt;S$4,"")</f>
        <v>2</v>
      </c>
      <c r="E4" s="3">
        <f>IF(ISBLANK(Week_72[[#This Row],[Player]]),"",COUNTIFS(AA:AB,3,V:W,Week_72[[#This Row],[Player]]))</f>
        <v>3</v>
      </c>
      <c r="F4" s="3">
        <f>IF(ISBLANK(Week_72[[#This Row],[Player]]),"",COUNTIFS(AA:AB,0,V:W,Week_72[[#This Row],[Player]]))</f>
        <v>1</v>
      </c>
      <c r="G4" s="3">
        <f>IF(ISBLANK(Week_72[[#This Row],[Player]]),"",COUNTIFS(AA:AB,1,V:W,Week_72[[#This Row],[Player]]))</f>
        <v>0</v>
      </c>
      <c r="H4" s="4">
        <f>IF(ISBLANK(Week_72[[#This Row],[Player]]),"",COUNTIFS(V:V,Week_72[[#This Row],[Player]],W:W,""))</f>
        <v>0</v>
      </c>
      <c r="I4" s="4">
        <f>IF(ISBLANK(Week_72[[#This Row],[Player]]),"",COUNTIF(V:W,Week_72[[#This Row],[Player]]))</f>
        <v>4</v>
      </c>
      <c r="J4" s="5" t="str">
        <f>IF(ISBLANK(Week_72[[#This Row],[Player]]),"",Week_72[[#This Row],[Win]]&amp;"-"&amp;Week_72[[#This Row],[Loss]]&amp;"-"&amp;Week_72[[#This Row],[Draw]])</f>
        <v>3-1-0</v>
      </c>
      <c r="K4" s="6" cm="1">
        <f t="array" ref="K4">IF(ISBLANK(Week_72[[#This Row],[Player]]),"",(AVERAGE(_xlfn.XLOOKUP(_xlfn.VSTACK(_xlfn._xlws.FILTER(W:W,V:V=Week_72[[#This Row],[Player]],""),_xlfn._xlws.FILTER(V:V,W:W=Week_72[[#This Row],[Player]],"")), Week_72[Player], Week_72[MW%], ""))))</f>
        <v>0.52083333333333326</v>
      </c>
      <c r="L4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0.63636363636363635</v>
      </c>
      <c r="M4" s="8" cm="1">
        <f t="array" ref="M4">IF(ISBLANK(Week_72[[#This Row],[Player]]),"",(AVERAGE(_xlfn.XLOOKUP(_xlfn.VSTACK(_xlfn._xlws.FILTER(W:W,V:V=Week_72[[#This Row],[Player]],""),_xlfn._xlws.FILTER(V:V,W:W=Week_72[[#This Row],[Player]],"")), Week_72[Player], Week_72[GW%], ""))))</f>
        <v>0.49242424242424243</v>
      </c>
      <c r="N4" s="7">
        <f>IF(ISBLANK(Week_72[[#This Row],[Player]]),"",MAX((1/3),IFERROR(Week_72[[#This Row],[Points]]/(Week_72[[#This Row],[Rounds]]*3),"")))</f>
        <v>0.75</v>
      </c>
      <c r="O4"/>
      <c r="P4" s="9">
        <f>IF(Week_72[[#This Row],[Points]]&gt;=S$4,S$5*Week_72[[#This Row],[calcWin]]/SUM(Week_72[calcWin])+Week_72[[#This Row],[OMF Bonus]],IF(Week_72[[#This Row],[OMF Bonus]]&gt;0,Week_72[[#This Row],[OMF Bonus]],""))</f>
        <v>250</v>
      </c>
      <c r="Q4" s="9"/>
      <c r="R4" t="s">
        <v>37</v>
      </c>
      <c r="S4">
        <f>(S$3 - 1) * 3</f>
        <v>9</v>
      </c>
      <c r="U4" t="str" cm="1">
        <f t="array" ref="U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3</v>
      </c>
      <c r="V4" s="1" t="s">
        <v>38</v>
      </c>
      <c r="W4" s="1" t="s">
        <v>39</v>
      </c>
      <c r="X4" s="1">
        <v>1</v>
      </c>
      <c r="Y4" s="1">
        <v>2</v>
      </c>
      <c r="Z4">
        <v>0</v>
      </c>
      <c r="AA4" cm="1">
        <f t="array" ref="AA4">IF(AND(V4&lt;&gt;"",W4=""),3,_xlfn.IFS(AND(X4="",Y4=""),"",X4&gt;Y4,3,X4&lt;Y4,0,X4=Y4,1))</f>
        <v>0</v>
      </c>
      <c r="AB4" s="16">
        <f t="shared" si="0"/>
        <v>3</v>
      </c>
      <c r="AC4" t="str">
        <f>IF(Week_72Games[[#This Row],[Player 2]]="","",_xlfn.XLOOKUP(Week_72Games[[#This Row],[Player 1]],Week_72[Player],Week_72[Deck]))</f>
        <v>Elves</v>
      </c>
      <c r="AD4" t="str">
        <f>IF(Week_72Games[[#This Row],[Player 2]]="","",_xlfn.XLOOKUP(Week_72Games[[#This Row],[Player 2]],Week_72[Player],Week_72[Deck]))</f>
        <v>Grixis Tempo</v>
      </c>
    </row>
    <row r="5" spans="1:30" ht="14.25" customHeight="1" x14ac:dyDescent="0.3">
      <c r="A5" t="s">
        <v>39</v>
      </c>
      <c r="B5" s="1" t="s">
        <v>40</v>
      </c>
      <c r="C5" s="2">
        <f>IF(ISBLANK(Week_72[[#This Row],[Player]]),-1,SUMIF(V:V,Week_72[[#This Row],[Player]],AA:AA)+SUMIF(W:W,Week_72[[#This Row],[Player]],AB:AB))</f>
        <v>9</v>
      </c>
      <c r="D5" s="3" cm="1">
        <f t="array" ref="D5">_xlfn.IFS(Week_72[[#This Row],[Points]]=S$4+3,4,Week_72[[#This Row],[Points]]&gt;S$4,3,Week_72[[#This Row],[Points]]=S$4,2,Week_72[[#This Row],[Points]]&lt;S$4,"")</f>
        <v>2</v>
      </c>
      <c r="E5" s="3">
        <f>IF(ISBLANK(Week_72[[#This Row],[Player]]),"",COUNTIFS(AA:AB,3,V:W,Week_72[[#This Row],[Player]]))</f>
        <v>3</v>
      </c>
      <c r="F5" s="3">
        <f>IF(ISBLANK(Week_72[[#This Row],[Player]]),"",COUNTIFS(AA:AB,0,V:W,Week_72[[#This Row],[Player]]))</f>
        <v>1</v>
      </c>
      <c r="G5" s="3">
        <f>IF(ISBLANK(Week_72[[#This Row],[Player]]),"",COUNTIFS(AA:AB,1,V:W,Week_72[[#This Row],[Player]]))</f>
        <v>0</v>
      </c>
      <c r="H5" s="4">
        <f>IF(ISBLANK(Week_72[[#This Row],[Player]]),"",COUNTIFS(V:V,Week_72[[#This Row],[Player]],W:W,""))</f>
        <v>0</v>
      </c>
      <c r="I5" s="4">
        <f>IF(ISBLANK(Week_72[[#This Row],[Player]]),"",COUNTIF(V:W,Week_72[[#This Row],[Player]]))</f>
        <v>4</v>
      </c>
      <c r="J5" s="5" t="str">
        <f>IF(ISBLANK(Week_72[[#This Row],[Player]]),"",Week_72[[#This Row],[Win]]&amp;"-"&amp;Week_72[[#This Row],[Loss]]&amp;"-"&amp;Week_72[[#This Row],[Draw]])</f>
        <v>3-1-0</v>
      </c>
      <c r="K5" s="6" cm="1">
        <f t="array" ref="K5">IF(ISBLANK(Week_72[[#This Row],[Player]]),"",(AVERAGE(_xlfn.XLOOKUP(_xlfn.VSTACK(_xlfn._xlws.FILTER(W:W,V:V=Week_72[[#This Row],[Player]],""),_xlfn._xlws.FILTER(V:V,W:W=Week_72[[#This Row],[Player]],"")), Week_72[Player], Week_72[MW%], ""))))</f>
        <v>0.52083333333333326</v>
      </c>
      <c r="L5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0.6</v>
      </c>
      <c r="M5" s="8" cm="1">
        <f t="array" ref="M5">IF(ISBLANK(Week_72[[#This Row],[Player]]),"",(AVERAGE(_xlfn.XLOOKUP(_xlfn.VSTACK(_xlfn._xlws.FILTER(W:W,V:V=Week_72[[#This Row],[Player]],""),_xlfn._xlws.FILTER(V:V,W:W=Week_72[[#This Row],[Player]],"")), Week_72[Player], Week_72[GW%], ""))))</f>
        <v>0.53333333333333333</v>
      </c>
      <c r="N5" s="7">
        <f>IF(ISBLANK(Week_72[[#This Row],[Player]]),"",MAX((1/3),IFERROR(Week_72[[#This Row],[Points]]/(Week_72[[#This Row],[Rounds]]*3),"")))</f>
        <v>0.75</v>
      </c>
      <c r="O5"/>
      <c r="P5" s="9">
        <f>IF(Week_72[[#This Row],[Points]]&gt;=S$4,S$5*Week_72[[#This Row],[calcWin]]/SUM(Week_72[calcWin])+Week_72[[#This Row],[OMF Bonus]],IF(Week_72[[#This Row],[OMF Bonus]]&gt;0,Week_72[[#This Row],[OMF Bonus]],""))</f>
        <v>250</v>
      </c>
      <c r="Q5" s="9"/>
      <c r="R5" s="1" t="s">
        <v>41</v>
      </c>
      <c r="S5">
        <f>(S2-S7)*Entry-S6</f>
        <v>1000</v>
      </c>
      <c r="U5" t="str" cm="1">
        <f t="array" ref="U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4</v>
      </c>
      <c r="V5" s="1" t="s">
        <v>42</v>
      </c>
      <c r="W5" s="1" t="s">
        <v>35</v>
      </c>
      <c r="X5" s="1">
        <v>1</v>
      </c>
      <c r="Y5" s="1">
        <v>2</v>
      </c>
      <c r="Z5">
        <v>0</v>
      </c>
      <c r="AA5" cm="1">
        <f t="array" ref="AA5">IF(AND(V5&lt;&gt;"",W5=""),3,_xlfn.IFS(AND(X5="",Y5=""),"",X5&gt;Y5,3,X5&lt;Y5,0,X5=Y5,1))</f>
        <v>0</v>
      </c>
      <c r="AB5" s="16">
        <f t="shared" si="0"/>
        <v>3</v>
      </c>
      <c r="AC5" t="str">
        <f>IF(Week_72Games[[#This Row],[Player 2]]="","",_xlfn.XLOOKUP(Week_72Games[[#This Row],[Player 1]],Week_72[Player],Week_72[Deck]))</f>
        <v>UR Tempo</v>
      </c>
      <c r="AD5" t="str">
        <f>IF(Week_72Games[[#This Row],[Player 2]]="","",_xlfn.XLOOKUP(Week_72Games[[#This Row],[Player 2]],Week_72[Player],Week_72[Deck]))</f>
        <v>Mono B Reanimator</v>
      </c>
    </row>
    <row r="6" spans="1:30" ht="14.25" customHeight="1" x14ac:dyDescent="0.3">
      <c r="A6" t="s">
        <v>43</v>
      </c>
      <c r="B6" s="1" t="s">
        <v>44</v>
      </c>
      <c r="C6" s="2">
        <f>IF(ISBLANK(Week_72[[#This Row],[Player]]),-1,SUMIF(V:V,Week_72[[#This Row],[Player]],AA:AA)+SUMIF(W:W,Week_72[[#This Row],[Player]],AB:AB))</f>
        <v>6</v>
      </c>
      <c r="D6" s="3" t="str" cm="1">
        <f t="array" ref="D6">_xlfn.IFS(Week_72[[#This Row],[Points]]=S$4+3,4,Week_72[[#This Row],[Points]]&gt;S$4,3,Week_72[[#This Row],[Points]]=S$4,2,Week_72[[#This Row],[Points]]&lt;S$4,"")</f>
        <v/>
      </c>
      <c r="E6" s="3">
        <f>IF(ISBLANK(Week_72[[#This Row],[Player]]),"",COUNTIFS(AA:AB,3,V:W,Week_72[[#This Row],[Player]]))</f>
        <v>2</v>
      </c>
      <c r="F6" s="3">
        <f>IF(ISBLANK(Week_72[[#This Row],[Player]]),"",COUNTIFS(AA:AB,0,V:W,Week_72[[#This Row],[Player]]))</f>
        <v>2</v>
      </c>
      <c r="G6" s="3">
        <f>IF(ISBLANK(Week_72[[#This Row],[Player]]),"",COUNTIFS(AA:AB,1,V:W,Week_72[[#This Row],[Player]]))</f>
        <v>0</v>
      </c>
      <c r="H6" s="4">
        <f>IF(ISBLANK(Week_72[[#This Row],[Player]]),"",COUNTIFS(V:V,Week_72[[#This Row],[Player]],W:W,""))</f>
        <v>1</v>
      </c>
      <c r="I6" s="4">
        <f>IF(ISBLANK(Week_72[[#This Row],[Player]]),"",COUNTIF(V:W,Week_72[[#This Row],[Player]]))</f>
        <v>4</v>
      </c>
      <c r="J6" s="5" t="str">
        <f>IF(ISBLANK(Week_72[[#This Row],[Player]]),"",Week_72[[#This Row],[Win]]&amp;"-"&amp;Week_72[[#This Row],[Loss]]&amp;"-"&amp;Week_72[[#This Row],[Draw]])</f>
        <v>2-2-0</v>
      </c>
      <c r="K6" s="6" cm="1">
        <f t="array" ref="K6">IF(ISBLANK(Week_72[[#This Row],[Player]]),"",(AVERAGE(_xlfn.XLOOKUP(_xlfn.VSTACK(_xlfn._xlws.FILTER(W:W,V:V=Week_72[[#This Row],[Player]],""),_xlfn._xlws.FILTER(V:V,W:W=Week_72[[#This Row],[Player]],"")), Week_72[Player], Week_72[MW%], ""))))</f>
        <v>0.75</v>
      </c>
      <c r="L6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0.5</v>
      </c>
      <c r="M6" s="8" cm="1">
        <f t="array" ref="M6">IF(ISBLANK(Week_72[[#This Row],[Player]]),"",(AVERAGE(_xlfn.XLOOKUP(_xlfn.VSTACK(_xlfn._xlws.FILTER(W:W,V:V=Week_72[[#This Row],[Player]],""),_xlfn._xlws.FILTER(V:V,W:W=Week_72[[#This Row],[Player]],"")), Week_72[Player], Week_72[GW%], ""))))</f>
        <v>0.65757575757575759</v>
      </c>
      <c r="N6" s="7">
        <f>IF(ISBLANK(Week_72[[#This Row],[Player]]),"",MAX((1/3),IFERROR(Week_72[[#This Row],[Points]]/(Week_72[[#This Row],[Rounds]]*3),"")))</f>
        <v>0.5</v>
      </c>
      <c r="O6"/>
      <c r="P6" s="9" t="str">
        <f>IF(Week_72[[#This Row],[Points]]&gt;=S$4,S$5*Week_72[[#This Row],[calcWin]]/SUM(Week_72[calcWin])+Week_72[[#This Row],[OMF Bonus]],IF(Week_72[[#This Row],[OMF Bonus]]&gt;0,Week_72[[#This Row],[OMF Bonus]],""))</f>
        <v/>
      </c>
      <c r="Q6" s="9"/>
      <c r="R6" s="1" t="s">
        <v>45</v>
      </c>
      <c r="S6">
        <f>S2*Entry*SSBonus*EventCut</f>
        <v>0</v>
      </c>
      <c r="U6" t="str" cm="1">
        <f t="array" ref="U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5</v>
      </c>
      <c r="V6" s="1" t="s">
        <v>46</v>
      </c>
      <c r="W6" s="1" t="s">
        <v>47</v>
      </c>
      <c r="X6" s="1">
        <v>2</v>
      </c>
      <c r="Y6" s="1">
        <v>1</v>
      </c>
      <c r="Z6">
        <v>0</v>
      </c>
      <c r="AA6" cm="1">
        <f t="array" ref="AA6">IF(AND(V6&lt;&gt;"",W6=""),3,_xlfn.IFS(AND(X6="",Y6=""),"",X6&gt;Y6,3,X6&lt;Y6,0,X6=Y6,1))</f>
        <v>3</v>
      </c>
      <c r="AB6" s="16">
        <f t="shared" si="0"/>
        <v>0</v>
      </c>
      <c r="AC6" t="str">
        <f>IF(Week_72Games[[#This Row],[Player 2]]="","",_xlfn.XLOOKUP(Week_72Games[[#This Row],[Player 1]],Week_72[Player],Week_72[Deck]))</f>
        <v>Moon Stompy</v>
      </c>
      <c r="AD6" t="str">
        <f>IF(Week_72Games[[#This Row],[Player 2]]="","",_xlfn.XLOOKUP(Week_72Games[[#This Row],[Player 2]],Week_72[Player],Week_72[Deck]))</f>
        <v>Mystic Forge Combo</v>
      </c>
    </row>
    <row r="7" spans="1:30" ht="14.25" customHeight="1" x14ac:dyDescent="0.3">
      <c r="A7" t="s">
        <v>42</v>
      </c>
      <c r="B7" s="1" t="s">
        <v>48</v>
      </c>
      <c r="C7" s="2">
        <f>IF(ISBLANK(Week_72[[#This Row],[Player]]),-1,SUMIF(V:V,Week_72[[#This Row],[Player]],AA:AA)+SUMIF(W:W,Week_72[[#This Row],[Player]],AB:AB))</f>
        <v>6</v>
      </c>
      <c r="D7" s="3" t="str" cm="1">
        <f t="array" ref="D7">_xlfn.IFS(Week_72[[#This Row],[Points]]=S$4+3,4,Week_72[[#This Row],[Points]]&gt;S$4,3,Week_72[[#This Row],[Points]]=S$4,2,Week_72[[#This Row],[Points]]&lt;S$4,"")</f>
        <v/>
      </c>
      <c r="E7" s="3">
        <f>IF(ISBLANK(Week_72[[#This Row],[Player]]),"",COUNTIFS(AA:AB,3,V:W,Week_72[[#This Row],[Player]]))</f>
        <v>2</v>
      </c>
      <c r="F7" s="3">
        <f>IF(ISBLANK(Week_72[[#This Row],[Player]]),"",COUNTIFS(AA:AB,0,V:W,Week_72[[#This Row],[Player]]))</f>
        <v>2</v>
      </c>
      <c r="G7" s="3">
        <f>IF(ISBLANK(Week_72[[#This Row],[Player]]),"",COUNTIFS(AA:AB,1,V:W,Week_72[[#This Row],[Player]]))</f>
        <v>0</v>
      </c>
      <c r="H7" s="4">
        <f>IF(ISBLANK(Week_72[[#This Row],[Player]]),"",COUNTIFS(V:V,Week_72[[#This Row],[Player]],W:W,""))</f>
        <v>1</v>
      </c>
      <c r="I7" s="4">
        <f>IF(ISBLANK(Week_72[[#This Row],[Player]]),"",COUNTIF(V:W,Week_72[[#This Row],[Player]]))</f>
        <v>4</v>
      </c>
      <c r="J7" s="5" t="str">
        <f>IF(ISBLANK(Week_72[[#This Row],[Player]]),"",Week_72[[#This Row],[Win]]&amp;"-"&amp;Week_72[[#This Row],[Loss]]&amp;"-"&amp;Week_72[[#This Row],[Draw]])</f>
        <v>2-2-0</v>
      </c>
      <c r="K7" s="6" cm="1">
        <f t="array" ref="K7">IF(ISBLANK(Week_72[[#This Row],[Player]]),"",(AVERAGE(_xlfn.XLOOKUP(_xlfn.VSTACK(_xlfn._xlws.FILTER(W:W,V:V=Week_72[[#This Row],[Player]],""),_xlfn._xlws.FILTER(V:V,W:W=Week_72[[#This Row],[Player]],"")), Week_72[Player], Week_72[MW%], ""))))</f>
        <v>0.66666666666666663</v>
      </c>
      <c r="L7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0.5</v>
      </c>
      <c r="M7" s="8" cm="1">
        <f t="array" ref="M7">IF(ISBLANK(Week_72[[#This Row],[Player]]),"",(AVERAGE(_xlfn.XLOOKUP(_xlfn.VSTACK(_xlfn._xlws.FILTER(W:W,V:V=Week_72[[#This Row],[Player]],""),_xlfn._xlws.FILTER(V:V,W:W=Week_72[[#This Row],[Player]],"")), Week_72[Player], Week_72[GW%], ""))))</f>
        <v>0.62727272727272732</v>
      </c>
      <c r="N7" s="7">
        <f>IF(ISBLANK(Week_72[[#This Row],[Player]]),"",MAX((1/3),IFERROR(Week_72[[#This Row],[Points]]/(Week_72[[#This Row],[Rounds]]*3),"")))</f>
        <v>0.5</v>
      </c>
      <c r="O7"/>
      <c r="P7" s="9" t="str">
        <f>IF(Week_72[[#This Row],[Points]]&gt;=S$4,S$5*Week_72[[#This Row],[calcWin]]/SUM(Week_72[calcWin])+Week_72[[#This Row],[OMF Bonus]],IF(Week_72[[#This Row],[OMF Bonus]]&gt;0,Week_72[[#This Row],[OMF Bonus]],""))</f>
        <v/>
      </c>
      <c r="Q7" s="9"/>
      <c r="R7" t="s">
        <v>49</v>
      </c>
      <c r="S7">
        <v>1</v>
      </c>
      <c r="U7" t="str" cm="1">
        <f t="array" ref="U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6</v>
      </c>
      <c r="V7" s="1" t="s">
        <v>43</v>
      </c>
      <c r="W7" s="1"/>
      <c r="X7" s="1">
        <v>2</v>
      </c>
      <c r="Y7" s="1">
        <v>0</v>
      </c>
      <c r="Z7">
        <v>0</v>
      </c>
      <c r="AA7" cm="1">
        <f t="array" ref="AA7">IF(AND(V7&lt;&gt;"",W7=""),3,_xlfn.IFS(AND(X7="",Y7=""),"",X7&gt;Y7,3,X7&lt;Y7,0,X7=Y7,1))</f>
        <v>3</v>
      </c>
      <c r="AB7" s="16" t="str">
        <f t="shared" si="0"/>
        <v/>
      </c>
      <c r="AC7" t="str">
        <f>IF(Week_72Games[[#This Row],[Player 2]]="","",_xlfn.XLOOKUP(Week_72Games[[#This Row],[Player 1]],Week_72[Player],Week_72[Deck]))</f>
        <v/>
      </c>
      <c r="AD7" t="str">
        <f>IF(Week_72Games[[#This Row],[Player 2]]="","",_xlfn.XLOOKUP(Week_72Games[[#This Row],[Player 2]],Week_72[Player],Week_72[Deck]))</f>
        <v/>
      </c>
    </row>
    <row r="8" spans="1:30" ht="14.25" customHeight="1" x14ac:dyDescent="0.3">
      <c r="A8" t="s">
        <v>38</v>
      </c>
      <c r="B8" s="1" t="s">
        <v>50</v>
      </c>
      <c r="C8" s="2">
        <f>IF(ISBLANK(Week_72[[#This Row],[Player]]),-1,SUMIF(V:V,Week_72[[#This Row],[Player]],AA:AA)+SUMIF(W:W,Week_72[[#This Row],[Player]],AB:AB))</f>
        <v>6</v>
      </c>
      <c r="D8" s="3" t="str" cm="1">
        <f t="array" ref="D8">_xlfn.IFS(Week_72[[#This Row],[Points]]=S$4+3,4,Week_72[[#This Row],[Points]]&gt;S$4,3,Week_72[[#This Row],[Points]]=S$4,2,Week_72[[#This Row],[Points]]&lt;S$4,"")</f>
        <v/>
      </c>
      <c r="E8" s="3">
        <f>IF(ISBLANK(Week_72[[#This Row],[Player]]),"",COUNTIFS(AA:AB,3,V:W,Week_72[[#This Row],[Player]]))</f>
        <v>2</v>
      </c>
      <c r="F8" s="3">
        <f>IF(ISBLANK(Week_72[[#This Row],[Player]]),"",COUNTIFS(AA:AB,0,V:W,Week_72[[#This Row],[Player]]))</f>
        <v>2</v>
      </c>
      <c r="G8" s="3">
        <f>IF(ISBLANK(Week_72[[#This Row],[Player]]),"",COUNTIFS(AA:AB,1,V:W,Week_72[[#This Row],[Player]]))</f>
        <v>0</v>
      </c>
      <c r="H8" s="4">
        <f>IF(ISBLANK(Week_72[[#This Row],[Player]]),"",COUNTIFS(V:V,Week_72[[#This Row],[Player]],W:W,""))</f>
        <v>1</v>
      </c>
      <c r="I8" s="4">
        <f>IF(ISBLANK(Week_72[[#This Row],[Player]]),"",COUNTIF(V:W,Week_72[[#This Row],[Player]]))</f>
        <v>4</v>
      </c>
      <c r="J8" s="5" t="str">
        <f>IF(ISBLANK(Week_72[[#This Row],[Player]]),"",Week_72[[#This Row],[Win]]&amp;"-"&amp;Week_72[[#This Row],[Loss]]&amp;"-"&amp;Week_72[[#This Row],[Draw]])</f>
        <v>2-2-0</v>
      </c>
      <c r="K8" s="6" cm="1">
        <f t="array" ref="K8">IF(ISBLANK(Week_72[[#This Row],[Player]]),"",(AVERAGE(_xlfn.XLOOKUP(_xlfn.VSTACK(_xlfn._xlws.FILTER(W:W,V:V=Week_72[[#This Row],[Player]],""),_xlfn._xlws.FILTER(V:V,W:W=Week_72[[#This Row],[Player]],"")), Week_72[Player], Week_72[MW%], ""))))</f>
        <v>0.52777777777777779</v>
      </c>
      <c r="L8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0.6</v>
      </c>
      <c r="M8" s="8" cm="1">
        <f t="array" ref="M8">IF(ISBLANK(Week_72[[#This Row],[Player]]),"",(AVERAGE(_xlfn.XLOOKUP(_xlfn.VSTACK(_xlfn._xlws.FILTER(W:W,V:V=Week_72[[#This Row],[Player]],""),_xlfn._xlws.FILTER(V:V,W:W=Week_72[[#This Row],[Player]],"")), Week_72[Player], Week_72[GW%], ""))))</f>
        <v>0.4777777777777778</v>
      </c>
      <c r="N8" s="7">
        <f>IF(ISBLANK(Week_72[[#This Row],[Player]]),"",MAX((1/3),IFERROR(Week_72[[#This Row],[Points]]/(Week_72[[#This Row],[Rounds]]*3),"")))</f>
        <v>0.5</v>
      </c>
      <c r="O8"/>
      <c r="P8" s="9" t="str">
        <f>IF(Week_72[[#This Row],[Points]]&gt;=S$4,S$5*Week_72[[#This Row],[calcWin]]/SUM(Week_72[calcWin])+Week_72[[#This Row],[OMF Bonus]],IF(Week_72[[#This Row],[OMF Bonus]]&gt;0,Week_72[[#This Row],[OMF Bonus]],""))</f>
        <v/>
      </c>
      <c r="Q8" s="9"/>
      <c r="R8" s="18"/>
      <c r="U8" t="str" cm="1">
        <f t="array" ref="U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Round 2</v>
      </c>
      <c r="AA8" t="str" cm="1">
        <f t="array" ref="AA8">IF(AND(V8&lt;&gt;"",W8=""),3,_xlfn.IFS(AND(X8="",Y8=""),"",X8&gt;Y8,3,X8&lt;Y8,0,X8=Y8,1))</f>
        <v/>
      </c>
      <c r="AB8" s="16" t="str">
        <f t="shared" si="0"/>
        <v/>
      </c>
      <c r="AC8" t="str">
        <f>IF(Week_72Games[[#This Row],[Player 2]]="","",_xlfn.XLOOKUP(Week_72Games[[#This Row],[Player 1]],Week_72[Player],Week_72[Deck]))</f>
        <v/>
      </c>
      <c r="AD8" t="str">
        <f>IF(Week_72Games[[#This Row],[Player 2]]="","",_xlfn.XLOOKUP(Week_72Games[[#This Row],[Player 2]],Week_72[Player],Week_72[Deck]))</f>
        <v/>
      </c>
    </row>
    <row r="9" spans="1:30" ht="14.25" customHeight="1" x14ac:dyDescent="0.3">
      <c r="A9" t="s">
        <v>46</v>
      </c>
      <c r="B9" s="1" t="s">
        <v>51</v>
      </c>
      <c r="C9" s="2">
        <f>IF(ISBLANK(Week_72[[#This Row],[Player]]),-1,SUMIF(V:V,Week_72[[#This Row],[Player]],AA:AA)+SUMIF(W:W,Week_72[[#This Row],[Player]],AB:AB))</f>
        <v>6</v>
      </c>
      <c r="D9" s="3" t="str" cm="1">
        <f t="array" ref="D9">_xlfn.IFS(Week_72[[#This Row],[Points]]=S$4+3,4,Week_72[[#This Row],[Points]]&gt;S$4,3,Week_72[[#This Row],[Points]]=S$4,2,Week_72[[#This Row],[Points]]&lt;S$4,"")</f>
        <v/>
      </c>
      <c r="E9" s="3">
        <f>IF(ISBLANK(Week_72[[#This Row],[Player]]),"",COUNTIFS(AA:AB,3,V:W,Week_72[[#This Row],[Player]]))</f>
        <v>2</v>
      </c>
      <c r="F9" s="3">
        <f>IF(ISBLANK(Week_72[[#This Row],[Player]]),"",COUNTIFS(AA:AB,0,V:W,Week_72[[#This Row],[Player]]))</f>
        <v>2</v>
      </c>
      <c r="G9" s="3">
        <f>IF(ISBLANK(Week_72[[#This Row],[Player]]),"",COUNTIFS(AA:AB,1,V:W,Week_72[[#This Row],[Player]]))</f>
        <v>0</v>
      </c>
      <c r="H9" s="4">
        <f>IF(ISBLANK(Week_72[[#This Row],[Player]]),"",COUNTIFS(V:V,Week_72[[#This Row],[Player]],W:W,""))</f>
        <v>0</v>
      </c>
      <c r="I9" s="4">
        <f>IF(ISBLANK(Week_72[[#This Row],[Player]]),"",COUNTIF(V:W,Week_72[[#This Row],[Player]]))</f>
        <v>4</v>
      </c>
      <c r="J9" s="5" t="str">
        <f>IF(ISBLANK(Week_72[[#This Row],[Player]]),"",Week_72[[#This Row],[Win]]&amp;"-"&amp;Week_72[[#This Row],[Loss]]&amp;"-"&amp;Week_72[[#This Row],[Draw]])</f>
        <v>2-2-0</v>
      </c>
      <c r="K9" s="6" cm="1">
        <f t="array" ref="K9">IF(ISBLANK(Week_72[[#This Row],[Player]]),"",(AVERAGE(_xlfn.XLOOKUP(_xlfn.VSTACK(_xlfn._xlws.FILTER(W:W,V:V=Week_72[[#This Row],[Player]],""),_xlfn._xlws.FILTER(V:V,W:W=Week_72[[#This Row],[Player]],"")), Week_72[Player], Week_72[MW%], ""))))</f>
        <v>0.52083333333333326</v>
      </c>
      <c r="L9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0.54545454545454541</v>
      </c>
      <c r="M9" s="8" cm="1">
        <f t="array" ref="M9">IF(ISBLANK(Week_72[[#This Row],[Player]]),"",(AVERAGE(_xlfn.XLOOKUP(_xlfn.VSTACK(_xlfn._xlws.FILTER(W:W,V:V=Week_72[[#This Row],[Player]],""),_xlfn._xlws.FILTER(V:V,W:W=Week_72[[#This Row],[Player]],"")), Week_72[Player], Week_72[GW%], ""))))</f>
        <v>0.49242424242424243</v>
      </c>
      <c r="N9" s="7">
        <f>IF(ISBLANK(Week_72[[#This Row],[Player]]),"",MAX((1/3),IFERROR(Week_72[[#This Row],[Points]]/(Week_72[[#This Row],[Rounds]]*3),"")))</f>
        <v>0.5</v>
      </c>
      <c r="O9"/>
      <c r="P9" s="9" t="str">
        <f>IF(Week_72[[#This Row],[Points]]&gt;=S$4,S$5*Week_72[[#This Row],[calcWin]]/SUM(Week_72[calcWin])+Week_72[[#This Row],[OMF Bonus]],IF(Week_72[[#This Row],[OMF Bonus]]&gt;0,Week_72[[#This Row],[OMF Bonus]],""))</f>
        <v/>
      </c>
      <c r="Q9" s="9"/>
      <c r="U9" t="str" cm="1">
        <f t="array" ref="U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1</v>
      </c>
      <c r="V9" t="s">
        <v>43</v>
      </c>
      <c r="W9" t="s">
        <v>35</v>
      </c>
      <c r="X9">
        <v>2</v>
      </c>
      <c r="Y9">
        <v>1</v>
      </c>
      <c r="Z9">
        <v>0</v>
      </c>
      <c r="AA9" cm="1">
        <f t="array" ref="AA9">IF(AND(V9&lt;&gt;"",W9=""),3,_xlfn.IFS(AND(X9="",Y9=""),"",X9&gt;Y9,3,X9&lt;Y9,0,X9=Y9,1))</f>
        <v>3</v>
      </c>
      <c r="AB9" s="16">
        <f t="shared" si="0"/>
        <v>0</v>
      </c>
      <c r="AC9" t="str">
        <f>IF(Week_72Games[[#This Row],[Player 2]]="","",_xlfn.XLOOKUP(Week_72Games[[#This Row],[Player 1]],Week_72[Player],Week_72[Deck]))</f>
        <v>Death and Taxes</v>
      </c>
      <c r="AD9" t="str">
        <f>IF(Week_72Games[[#This Row],[Player 2]]="","",_xlfn.XLOOKUP(Week_72Games[[#This Row],[Player 2]],Week_72[Player],Week_72[Deck]))</f>
        <v>Mono B Reanimator</v>
      </c>
    </row>
    <row r="10" spans="1:30" ht="14.25" customHeight="1" x14ac:dyDescent="0.3">
      <c r="A10" t="s">
        <v>47</v>
      </c>
      <c r="B10" s="1" t="s">
        <v>52</v>
      </c>
      <c r="C10" s="2">
        <f>IF(ISBLANK(Week_72[[#This Row],[Player]]),-1,SUMIF(V:V,Week_72[[#This Row],[Player]],AA:AA)+SUMIF(W:W,Week_72[[#This Row],[Player]],AB:AB))</f>
        <v>6</v>
      </c>
      <c r="D10" s="3" t="str" cm="1">
        <f t="array" ref="D10">_xlfn.IFS(Week_72[[#This Row],[Points]]=S$4+3,4,Week_72[[#This Row],[Points]]&gt;S$4,3,Week_72[[#This Row],[Points]]=S$4,2,Week_72[[#This Row],[Points]]&lt;S$4,"")</f>
        <v/>
      </c>
      <c r="E10" s="3">
        <f>IF(ISBLANK(Week_72[[#This Row],[Player]]),"",COUNTIFS(AA:AB,3,V:W,Week_72[[#This Row],[Player]]))</f>
        <v>2</v>
      </c>
      <c r="F10" s="3">
        <f>IF(ISBLANK(Week_72[[#This Row],[Player]]),"",COUNTIFS(AA:AB,0,V:W,Week_72[[#This Row],[Player]]))</f>
        <v>2</v>
      </c>
      <c r="G10" s="3">
        <f>IF(ISBLANK(Week_72[[#This Row],[Player]]),"",COUNTIFS(AA:AB,1,V:W,Week_72[[#This Row],[Player]]))</f>
        <v>0</v>
      </c>
      <c r="H10" s="4">
        <f>IF(ISBLANK(Week_72[[#This Row],[Player]]),"",COUNTIFS(V:V,Week_72[[#This Row],[Player]],W:W,""))</f>
        <v>0</v>
      </c>
      <c r="I10" s="4">
        <f>IF(ISBLANK(Week_72[[#This Row],[Player]]),"",COUNTIF(V:W,Week_72[[#This Row],[Player]]))</f>
        <v>4</v>
      </c>
      <c r="J10" s="5" t="str">
        <f>IF(ISBLANK(Week_72[[#This Row],[Player]]),"",Week_72[[#This Row],[Win]]&amp;"-"&amp;Week_72[[#This Row],[Loss]]&amp;"-"&amp;Week_72[[#This Row],[Draw]])</f>
        <v>2-2-0</v>
      </c>
      <c r="K10" s="6" cm="1">
        <f t="array" ref="K10">IF(ISBLANK(Week_72[[#This Row],[Player]]),"",(AVERAGE(_xlfn.XLOOKUP(_xlfn.VSTACK(_xlfn._xlws.FILTER(W:W,V:V=Week_72[[#This Row],[Player]],""),_xlfn._xlws.FILTER(V:V,W:W=Week_72[[#This Row],[Player]],"")), Week_72[Player], Week_72[MW%], ""))))</f>
        <v>0.52083333333333326</v>
      </c>
      <c r="L10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0.5</v>
      </c>
      <c r="M10" s="8" cm="1">
        <f t="array" ref="M10">IF(ISBLANK(Week_72[[#This Row],[Player]]),"",(AVERAGE(_xlfn.XLOOKUP(_xlfn.VSTACK(_xlfn._xlws.FILTER(W:W,V:V=Week_72[[#This Row],[Player]],""),_xlfn._xlws.FILTER(V:V,W:W=Week_72[[#This Row],[Player]],"")), Week_72[Player], Week_72[GW%], ""))))</f>
        <v>0.51969696969696966</v>
      </c>
      <c r="N10" s="7">
        <f>IF(ISBLANK(Week_72[[#This Row],[Player]]),"",MAX((1/3),IFERROR(Week_72[[#This Row],[Points]]/(Week_72[[#This Row],[Rounds]]*3),"")))</f>
        <v>0.5</v>
      </c>
      <c r="O10"/>
      <c r="P10" s="9" t="str">
        <f>IF(Week_72[[#This Row],[Points]]&gt;=S$4,S$5*Week_72[[#This Row],[calcWin]]/SUM(Week_72[calcWin])+Week_72[[#This Row],[OMF Bonus]],IF(Week_72[[#This Row],[OMF Bonus]]&gt;0,Week_72[[#This Row],[OMF Bonus]],""))</f>
        <v/>
      </c>
      <c r="Q10" s="9"/>
      <c r="U10" t="str" cm="1">
        <f t="array" ref="U1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2</v>
      </c>
      <c r="V10" t="s">
        <v>32</v>
      </c>
      <c r="W10" t="s">
        <v>46</v>
      </c>
      <c r="X10">
        <v>2</v>
      </c>
      <c r="Y10">
        <v>1</v>
      </c>
      <c r="Z10">
        <v>0</v>
      </c>
      <c r="AA10" cm="1">
        <f t="array" ref="AA10">IF(AND(V10&lt;&gt;"",W10=""),3,_xlfn.IFS(AND(X10="",Y10=""),"",X10&gt;Y10,3,X10&lt;Y10,0,X10=Y10,1))</f>
        <v>3</v>
      </c>
      <c r="AB10" s="16">
        <f t="shared" si="0"/>
        <v>0</v>
      </c>
      <c r="AC10" t="str">
        <f>IF(Week_72Games[[#This Row],[Player 2]]="","",_xlfn.XLOOKUP(Week_72Games[[#This Row],[Player 1]],Week_72[Player],Week_72[Deck]))</f>
        <v>Rx Painter</v>
      </c>
      <c r="AD10" t="str">
        <f>IF(Week_72Games[[#This Row],[Player 2]]="","",_xlfn.XLOOKUP(Week_72Games[[#This Row],[Player 2]],Week_72[Player],Week_72[Deck]))</f>
        <v>Moon Stompy</v>
      </c>
    </row>
    <row r="11" spans="1:30" ht="14.25" customHeight="1" x14ac:dyDescent="0.3">
      <c r="A11" t="s">
        <v>31</v>
      </c>
      <c r="B11" s="1" t="s">
        <v>53</v>
      </c>
      <c r="C11" s="2">
        <f>IF(ISBLANK(Week_72[[#This Row],[Player]]),-1,SUMIF(V:V,Week_72[[#This Row],[Player]],AA:AA)+SUMIF(W:W,Week_72[[#This Row],[Player]],AB:AB))</f>
        <v>3</v>
      </c>
      <c r="D11" s="3" t="str" cm="1">
        <f t="array" ref="D11">_xlfn.IFS(Week_72[[#This Row],[Points]]=S$4+3,4,Week_72[[#This Row],[Points]]&gt;S$4,3,Week_72[[#This Row],[Points]]=S$4,2,Week_72[[#This Row],[Points]]&lt;S$4,"")</f>
        <v/>
      </c>
      <c r="E11" s="3">
        <f>IF(ISBLANK(Week_72[[#This Row],[Player]]),"",COUNTIFS(AA:AB,3,V:W,Week_72[[#This Row],[Player]]))</f>
        <v>1</v>
      </c>
      <c r="F11" s="3">
        <f>IF(ISBLANK(Week_72[[#This Row],[Player]]),"",COUNTIFS(AA:AB,0,V:W,Week_72[[#This Row],[Player]]))</f>
        <v>3</v>
      </c>
      <c r="G11" s="3">
        <f>IF(ISBLANK(Week_72[[#This Row],[Player]]),"",COUNTIFS(AA:AB,1,V:W,Week_72[[#This Row],[Player]]))</f>
        <v>0</v>
      </c>
      <c r="H11" s="4">
        <f>IF(ISBLANK(Week_72[[#This Row],[Player]]),"",COUNTIFS(V:V,Week_72[[#This Row],[Player]],W:W,""))</f>
        <v>0</v>
      </c>
      <c r="I11" s="4">
        <f>IF(ISBLANK(Week_72[[#This Row],[Player]]),"",COUNTIF(V:W,Week_72[[#This Row],[Player]]))</f>
        <v>4</v>
      </c>
      <c r="J11" s="5" t="str">
        <f>IF(ISBLANK(Week_72[[#This Row],[Player]]),"",Week_72[[#This Row],[Win]]&amp;"-"&amp;Week_72[[#This Row],[Loss]]&amp;"-"&amp;Week_72[[#This Row],[Draw]])</f>
        <v>1-3-0</v>
      </c>
      <c r="K11" s="6" cm="1">
        <f t="array" ref="K11">IF(ISBLANK(Week_72[[#This Row],[Player]]),"",(AVERAGE(_xlfn.XLOOKUP(_xlfn.VSTACK(_xlfn._xlws.FILTER(W:W,V:V=Week_72[[#This Row],[Player]],""),_xlfn._xlws.FILTER(V:V,W:W=Week_72[[#This Row],[Player]],"")), Week_72[Player], Week_72[MW%], ""))))</f>
        <v>0.58333333333333326</v>
      </c>
      <c r="L11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0.33333333333333331</v>
      </c>
      <c r="M11" s="8" cm="1">
        <f t="array" ref="M11">IF(ISBLANK(Week_72[[#This Row],[Player]]),"",(AVERAGE(_xlfn.XLOOKUP(_xlfn.VSTACK(_xlfn._xlws.FILTER(W:W,V:V=Week_72[[#This Row],[Player]],""),_xlfn._xlws.FILTER(V:V,W:W=Week_72[[#This Row],[Player]],"")), Week_72[Player], Week_72[GW%], ""))))</f>
        <v>0.54242424242424248</v>
      </c>
      <c r="N11" s="7">
        <f>IF(ISBLANK(Week_72[[#This Row],[Player]]),"",MAX((1/3),IFERROR(Week_72[[#This Row],[Points]]/(Week_72[[#This Row],[Rounds]]*3),"")))</f>
        <v>0.33333333333333331</v>
      </c>
      <c r="O11"/>
      <c r="P11" s="9" t="str">
        <f>IF(Week_72[[#This Row],[Points]]&gt;=S$4,S$5*Week_72[[#This Row],[calcWin]]/SUM(Week_72[calcWin])+Week_72[[#This Row],[OMF Bonus]],IF(Week_72[[#This Row],[OMF Bonus]]&gt;0,Week_72[[#This Row],[OMF Bonus]],""))</f>
        <v/>
      </c>
      <c r="Q11" s="9"/>
      <c r="U11" t="str" cm="1">
        <f t="array" ref="U1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3</v>
      </c>
      <c r="V11" t="s">
        <v>39</v>
      </c>
      <c r="W11" t="s">
        <v>31</v>
      </c>
      <c r="X11">
        <v>2</v>
      </c>
      <c r="Y11">
        <v>1</v>
      </c>
      <c r="Z11">
        <v>0</v>
      </c>
      <c r="AA11" cm="1">
        <f t="array" ref="AA11">IF(AND(V11&lt;&gt;"",W11=""),3,_xlfn.IFS(AND(X11="",Y11=""),"",X11&gt;Y11,3,X11&lt;Y11,0,X11=Y11,1))</f>
        <v>3</v>
      </c>
      <c r="AB11" s="16">
        <f t="shared" si="0"/>
        <v>0</v>
      </c>
      <c r="AC11" t="str">
        <f>IF(Week_72Games[[#This Row],[Player 2]]="","",_xlfn.XLOOKUP(Week_72Games[[#This Row],[Player 1]],Week_72[Player],Week_72[Deck]))</f>
        <v>Grixis Tempo</v>
      </c>
      <c r="AD11" t="str">
        <f>IF(Week_72Games[[#This Row],[Player 2]]="","",_xlfn.XLOOKUP(Week_72Games[[#This Row],[Player 2]],Week_72[Player],Week_72[Deck]))</f>
        <v>Nazu Wizards</v>
      </c>
    </row>
    <row r="12" spans="1:30" ht="14.25" customHeight="1" x14ac:dyDescent="0.3">
      <c r="A12" t="s">
        <v>30</v>
      </c>
      <c r="B12" s="1" t="s">
        <v>54</v>
      </c>
      <c r="C12" s="2">
        <f>IF(ISBLANK(Week_72[[#This Row],[Player]]),-1,SUMIF(V:V,Week_72[[#This Row],[Player]],AA:AA)+SUMIF(W:W,Week_72[[#This Row],[Player]],AB:AB))</f>
        <v>3</v>
      </c>
      <c r="D12" s="3" t="str" cm="1">
        <f t="array" ref="D12">_xlfn.IFS(Week_72[[#This Row],[Points]]=S$4+3,4,Week_72[[#This Row],[Points]]&gt;S$4,3,Week_72[[#This Row],[Points]]=S$4,2,Week_72[[#This Row],[Points]]&lt;S$4,"")</f>
        <v/>
      </c>
      <c r="E12" s="3">
        <f>IF(ISBLANK(Week_72[[#This Row],[Player]]),"",COUNTIFS(AA:AB,3,V:W,Week_72[[#This Row],[Player]]))</f>
        <v>1</v>
      </c>
      <c r="F12" s="3">
        <f>IF(ISBLANK(Week_72[[#This Row],[Player]]),"",COUNTIFS(AA:AB,0,V:W,Week_72[[#This Row],[Player]]))</f>
        <v>3</v>
      </c>
      <c r="G12" s="3">
        <f>IF(ISBLANK(Week_72[[#This Row],[Player]]),"",COUNTIFS(AA:AB,1,V:W,Week_72[[#This Row],[Player]]))</f>
        <v>0</v>
      </c>
      <c r="H12" s="4">
        <f>IF(ISBLANK(Week_72[[#This Row],[Player]]),"",COUNTIFS(V:V,Week_72[[#This Row],[Player]],W:W,""))</f>
        <v>1</v>
      </c>
      <c r="I12" s="4">
        <f>IF(ISBLANK(Week_72[[#This Row],[Player]]),"",COUNTIF(V:W,Week_72[[#This Row],[Player]]))</f>
        <v>4</v>
      </c>
      <c r="J12" s="5" t="str">
        <f>IF(ISBLANK(Week_72[[#This Row],[Player]]),"",Week_72[[#This Row],[Win]]&amp;"-"&amp;Week_72[[#This Row],[Loss]]&amp;"-"&amp;Week_72[[#This Row],[Draw]])</f>
        <v>1-3-0</v>
      </c>
      <c r="K12" s="6" cm="1">
        <f t="array" ref="K12">IF(ISBLANK(Week_72[[#This Row],[Player]]),"",(AVERAGE(_xlfn.XLOOKUP(_xlfn.VSTACK(_xlfn._xlws.FILTER(W:W,V:V=Week_72[[#This Row],[Player]],""),_xlfn._xlws.FILTER(V:V,W:W=Week_72[[#This Row],[Player]],"")), Week_72[Player], Week_72[MW%], ""))))</f>
        <v>0.44444444444444442</v>
      </c>
      <c r="L12" s="7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>0.33333333333333331</v>
      </c>
      <c r="M12" s="8" cm="1">
        <f t="array" ref="M12">IF(ISBLANK(Week_72[[#This Row],[Player]]),"",(AVERAGE(_xlfn.XLOOKUP(_xlfn.VSTACK(_xlfn._xlws.FILTER(W:W,V:V=Week_72[[#This Row],[Player]],""),_xlfn._xlws.FILTER(V:V,W:W=Week_72[[#This Row],[Player]],"")), Week_72[Player], Week_72[GW%], ""))))</f>
        <v>0.45959595959595956</v>
      </c>
      <c r="N12" s="7">
        <f>IF(ISBLANK(Week_72[[#This Row],[Player]]),"",MAX((1/3),IFERROR(Week_72[[#This Row],[Points]]/(Week_72[[#This Row],[Rounds]]*3),"")))</f>
        <v>0.33333333333333331</v>
      </c>
      <c r="O12"/>
      <c r="P12" s="9" t="str">
        <f>IF(Week_72[[#This Row],[Points]]&gt;=S$4,S$5*Week_72[[#This Row],[calcWin]]/SUM(Week_72[calcWin])+Week_72[[#This Row],[OMF Bonus]],IF(Week_72[[#This Row],[OMF Bonus]]&gt;0,Week_72[[#This Row],[OMF Bonus]],""))</f>
        <v/>
      </c>
      <c r="Q12"/>
      <c r="U12" t="str" cm="1">
        <f t="array" ref="U1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4</v>
      </c>
      <c r="V12" t="s">
        <v>47</v>
      </c>
      <c r="W12" t="s">
        <v>30</v>
      </c>
      <c r="X12">
        <v>2</v>
      </c>
      <c r="Y12">
        <v>0</v>
      </c>
      <c r="Z12">
        <v>0</v>
      </c>
      <c r="AA12" cm="1">
        <f t="array" ref="AA12">IF(AND(V12&lt;&gt;"",W12=""),3,_xlfn.IFS(AND(X12="",Y12=""),"",X12&gt;Y12,3,X12&lt;Y12,0,X12=Y12,1))</f>
        <v>3</v>
      </c>
      <c r="AB12" s="16">
        <f t="shared" si="0"/>
        <v>0</v>
      </c>
      <c r="AC12" t="str">
        <f>IF(Week_72Games[[#This Row],[Player 2]]="","",_xlfn.XLOOKUP(Week_72Games[[#This Row],[Player 1]],Week_72[Player],Week_72[Deck]))</f>
        <v>Mystic Forge Combo</v>
      </c>
      <c r="AD12" t="str">
        <f>IF(Week_72Games[[#This Row],[Player 2]]="","",_xlfn.XLOOKUP(Week_72Games[[#This Row],[Player 2]],Week_72[Player],Week_72[Deck]))</f>
        <v>Cloudpost</v>
      </c>
    </row>
    <row r="13" spans="1:30" ht="14.25" customHeight="1" x14ac:dyDescent="0.3">
      <c r="B13" s="1"/>
      <c r="C13" s="2">
        <f>IF(ISBLANK(Week_72[[#This Row],[Player]]),-1,SUMIF(V:V,Week_72[[#This Row],[Player]],AA:AA)+SUMIF(W:W,Week_72[[#This Row],[Player]],AB:AB))</f>
        <v>-1</v>
      </c>
      <c r="D13" s="3" t="str" cm="1">
        <f t="array" ref="D13">_xlfn.IFS(Week_72[[#This Row],[Points]]=S$4+3,4,Week_72[[#This Row],[Points]]&gt;S$4,3,Week_72[[#This Row],[Points]]=S$4,2,Week_72[[#This Row],[Points]]&lt;S$4,"")</f>
        <v/>
      </c>
      <c r="E13" s="3" t="str">
        <f>IF(ISBLANK(Week_72[[#This Row],[Player]]),"",COUNTIFS(AA:AB,3,V:W,Week_72[[#This Row],[Player]]))</f>
        <v/>
      </c>
      <c r="F13" s="3" t="str">
        <f>IF(ISBLANK(Week_72[[#This Row],[Player]]),"",COUNTIFS(AA:AB,0,V:W,Week_72[[#This Row],[Player]]))</f>
        <v/>
      </c>
      <c r="G13" s="3" t="str">
        <f>IF(ISBLANK(Week_72[[#This Row],[Player]]),"",COUNTIFS(AA:AB,1,V:W,Week_72[[#This Row],[Player]]))</f>
        <v/>
      </c>
      <c r="H13" s="4" t="str">
        <f>IF(ISBLANK(Week_72[[#This Row],[Player]]),"",COUNTIFS(V:V,Week_72[[#This Row],[Player]],W:W,""))</f>
        <v/>
      </c>
      <c r="I13" s="4" t="str">
        <f>IF(ISBLANK(Week_72[[#This Row],[Player]]),"",COUNTIF(V:W,Week_72[[#This Row],[Player]]))</f>
        <v/>
      </c>
      <c r="J13" s="5" t="str">
        <f>IF(ISBLANK(Week_72[[#This Row],[Player]]),"",Week_72[[#This Row],[Win]]&amp;"-"&amp;Week_72[[#This Row],[Loss]]&amp;"-"&amp;Week_72[[#This Row],[Draw]])</f>
        <v/>
      </c>
      <c r="K13" s="6" t="str" cm="1">
        <f t="array" ref="K13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13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13" s="8" t="str" cm="1">
        <f t="array" ref="M13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13" s="7" t="str">
        <f>IF(ISBLANK(Week_72[[#This Row],[Player]]),"",MAX((1/3),IFERROR(Week_72[[#This Row],[Points]]/(Week_72[[#This Row],[Rounds]]*3),"")))</f>
        <v/>
      </c>
      <c r="O13"/>
      <c r="P13" s="9" t="str">
        <f>IF(Week_72[[#This Row],[Points]]&gt;=S$4,S$5*Week_72[[#This Row],[calcWin]]/SUM(Week_72[calcWin])+Week_72[[#This Row],[OMF Bonus]],IF(Week_72[[#This Row],[OMF Bonus]]&gt;0,Week_72[[#This Row],[OMF Bonus]],""))</f>
        <v/>
      </c>
      <c r="Q13"/>
      <c r="U13" t="str" cm="1">
        <f t="array" ref="U1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5</v>
      </c>
      <c r="V13" t="s">
        <v>42</v>
      </c>
      <c r="W13" t="s">
        <v>27</v>
      </c>
      <c r="X13">
        <v>0</v>
      </c>
      <c r="Y13">
        <v>2</v>
      </c>
      <c r="Z13">
        <v>0</v>
      </c>
      <c r="AA13" cm="1">
        <f t="array" ref="AA13">IF(AND(V13&lt;&gt;"",W13=""),3,_xlfn.IFS(AND(X13="",Y13=""),"",X13&gt;Y13,3,X13&lt;Y13,0,X13=Y13,1))</f>
        <v>0</v>
      </c>
      <c r="AB13" s="16">
        <f t="shared" si="0"/>
        <v>3</v>
      </c>
      <c r="AC13" t="str">
        <f>IF(Week_72Games[[#This Row],[Player 2]]="","",_xlfn.XLOOKUP(Week_72Games[[#This Row],[Player 1]],Week_72[Player],Week_72[Deck]))</f>
        <v>UR Tempo</v>
      </c>
      <c r="AD13" t="str">
        <f>IF(Week_72Games[[#This Row],[Player 2]]="","",_xlfn.XLOOKUP(Week_72Games[[#This Row],[Player 2]],Week_72[Player],Week_72[Deck]))</f>
        <v>Lands</v>
      </c>
    </row>
    <row r="14" spans="1:30" ht="14.25" customHeight="1" x14ac:dyDescent="0.3">
      <c r="B14" s="1"/>
      <c r="C14" s="2">
        <f>IF(ISBLANK(Week_72[[#This Row],[Player]]),-1,SUMIF(V:V,Week_72[[#This Row],[Player]],AA:AA)+SUMIF(W:W,Week_72[[#This Row],[Player]],AB:AB))</f>
        <v>-1</v>
      </c>
      <c r="D14" s="3" t="str" cm="1">
        <f t="array" ref="D14">_xlfn.IFS(Week_72[[#This Row],[Points]]=S$4+3,4,Week_72[[#This Row],[Points]]&gt;S$4,3,Week_72[[#This Row],[Points]]=S$4,2,Week_72[[#This Row],[Points]]&lt;S$4,"")</f>
        <v/>
      </c>
      <c r="E14" s="3" t="str">
        <f>IF(ISBLANK(Week_72[[#This Row],[Player]]),"",COUNTIFS(AA:AB,3,V:W,Week_72[[#This Row],[Player]]))</f>
        <v/>
      </c>
      <c r="F14" s="3" t="str">
        <f>IF(ISBLANK(Week_72[[#This Row],[Player]]),"",COUNTIFS(AA:AB,0,V:W,Week_72[[#This Row],[Player]]))</f>
        <v/>
      </c>
      <c r="G14" s="3" t="str">
        <f>IF(ISBLANK(Week_72[[#This Row],[Player]]),"",COUNTIFS(AA:AB,1,V:W,Week_72[[#This Row],[Player]]))</f>
        <v/>
      </c>
      <c r="H14" s="4" t="str">
        <f>IF(ISBLANK(Week_72[[#This Row],[Player]]),"",COUNTIFS(V:V,Week_72[[#This Row],[Player]],W:W,""))</f>
        <v/>
      </c>
      <c r="I14" s="4" t="str">
        <f>IF(ISBLANK(Week_72[[#This Row],[Player]]),"",COUNTIF(V:W,Week_72[[#This Row],[Player]]))</f>
        <v/>
      </c>
      <c r="J14" s="5" t="str">
        <f>IF(ISBLANK(Week_72[[#This Row],[Player]]),"",Week_72[[#This Row],[Win]]&amp;"-"&amp;Week_72[[#This Row],[Loss]]&amp;"-"&amp;Week_72[[#This Row],[Draw]])</f>
        <v/>
      </c>
      <c r="K14" s="6" t="str" cm="1">
        <f t="array" ref="K14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14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14" s="8" t="str" cm="1">
        <f t="array" ref="M14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14" s="7" t="str">
        <f>IF(ISBLANK(Week_72[[#This Row],[Player]]),"",MAX((1/3),IFERROR(Week_72[[#This Row],[Points]]/(Week_72[[#This Row],[Rounds]]*3),"")))</f>
        <v/>
      </c>
      <c r="O14"/>
      <c r="P14" s="9" t="str">
        <f>IF(Week_72[[#This Row],[Points]]&gt;=S$4,S$5*Week_72[[#This Row],[calcWin]]/SUM(Week_72[calcWin])+Week_72[[#This Row],[OMF Bonus]],IF(Week_72[[#This Row],[OMF Bonus]]&gt;0,Week_72[[#This Row],[OMF Bonus]],""))</f>
        <v/>
      </c>
      <c r="Q14"/>
      <c r="U14" t="str" cm="1">
        <f t="array" ref="U1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6</v>
      </c>
      <c r="V14" t="s">
        <v>38</v>
      </c>
      <c r="X14">
        <v>2</v>
      </c>
      <c r="Y14">
        <v>0</v>
      </c>
      <c r="Z14">
        <v>0</v>
      </c>
      <c r="AA14" cm="1">
        <f t="array" ref="AA14">IF(AND(V14&lt;&gt;"",W14=""),3,_xlfn.IFS(AND(X14="",Y14=""),"",X14&gt;Y14,3,X14&lt;Y14,0,X14=Y14,1))</f>
        <v>3</v>
      </c>
      <c r="AB14" s="16" t="str">
        <f t="shared" si="0"/>
        <v/>
      </c>
      <c r="AC14" t="str">
        <f>IF(Week_72Games[[#This Row],[Player 2]]="","",_xlfn.XLOOKUP(Week_72Games[[#This Row],[Player 1]],Week_72[Player],Week_72[Deck]))</f>
        <v/>
      </c>
      <c r="AD14" t="str">
        <f>IF(Week_72Games[[#This Row],[Player 2]]="","",_xlfn.XLOOKUP(Week_72Games[[#This Row],[Player 2]],Week_72[Player],Week_72[Deck]))</f>
        <v/>
      </c>
    </row>
    <row r="15" spans="1:30" ht="14.25" customHeight="1" x14ac:dyDescent="0.3">
      <c r="B15" s="1"/>
      <c r="C15" s="2">
        <f>IF(ISBLANK(Week_72[[#This Row],[Player]]),-1,SUMIF(V:V,Week_72[[#This Row],[Player]],AA:AA)+SUMIF(W:W,Week_72[[#This Row],[Player]],AB:AB))</f>
        <v>-1</v>
      </c>
      <c r="D15" s="3" t="str" cm="1">
        <f t="array" ref="D15">_xlfn.IFS(Week_72[[#This Row],[Points]]=S$4+3,4,Week_72[[#This Row],[Points]]&gt;S$4,3,Week_72[[#This Row],[Points]]=S$4,2,Week_72[[#This Row],[Points]]&lt;S$4,"")</f>
        <v/>
      </c>
      <c r="E15" s="3" t="str">
        <f>IF(ISBLANK(Week_72[[#This Row],[Player]]),"",COUNTIFS(AA:AB,3,V:W,Week_72[[#This Row],[Player]]))</f>
        <v/>
      </c>
      <c r="F15" s="3" t="str">
        <f>IF(ISBLANK(Week_72[[#This Row],[Player]]),"",COUNTIFS(AA:AB,0,V:W,Week_72[[#This Row],[Player]]))</f>
        <v/>
      </c>
      <c r="G15" s="3" t="str">
        <f>IF(ISBLANK(Week_72[[#This Row],[Player]]),"",COUNTIFS(AA:AB,1,V:W,Week_72[[#This Row],[Player]]))</f>
        <v/>
      </c>
      <c r="H15" s="4" t="str">
        <f>IF(ISBLANK(Week_72[[#This Row],[Player]]),"",COUNTIFS(V:V,Week_72[[#This Row],[Player]],W:W,""))</f>
        <v/>
      </c>
      <c r="I15" s="4" t="str">
        <f>IF(ISBLANK(Week_72[[#This Row],[Player]]),"",COUNTIF(V:W,Week_72[[#This Row],[Player]]))</f>
        <v/>
      </c>
      <c r="J15" s="5" t="str">
        <f>IF(ISBLANK(Week_72[[#This Row],[Player]]),"",Week_72[[#This Row],[Win]]&amp;"-"&amp;Week_72[[#This Row],[Loss]]&amp;"-"&amp;Week_72[[#This Row],[Draw]])</f>
        <v/>
      </c>
      <c r="K15" s="6" t="str" cm="1">
        <f t="array" ref="K15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15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15" s="8" t="str" cm="1">
        <f t="array" ref="M15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15" s="7" t="str">
        <f>IF(ISBLANK(Week_72[[#This Row],[Player]]),"",MAX((1/3),IFERROR(Week_72[[#This Row],[Points]]/(Week_72[[#This Row],[Rounds]]*3),"")))</f>
        <v/>
      </c>
      <c r="O15"/>
      <c r="P15" s="9" t="str">
        <f>IF(Week_72[[#This Row],[Points]]&gt;=S$4,S$5*Week_72[[#This Row],[calcWin]]/SUM(Week_72[calcWin])+Week_72[[#This Row],[OMF Bonus]],IF(Week_72[[#This Row],[OMF Bonus]]&gt;0,Week_72[[#This Row],[OMF Bonus]],""))</f>
        <v/>
      </c>
      <c r="Q15"/>
      <c r="U15" t="str" cm="1">
        <f t="array" ref="U1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Round 3</v>
      </c>
      <c r="AA15" t="str" cm="1">
        <f t="array" ref="AA15">IF(AND(V15&lt;&gt;"",W15=""),3,_xlfn.IFS(AND(X15="",Y15=""),"",X15&gt;Y15,3,X15&lt;Y15,0,X15=Y15,1))</f>
        <v/>
      </c>
      <c r="AB15" s="16" t="str">
        <f t="shared" si="0"/>
        <v/>
      </c>
      <c r="AC15" t="str">
        <f>IF(Week_72Games[[#This Row],[Player 2]]="","",_xlfn.XLOOKUP(Week_72Games[[#This Row],[Player 1]],Week_72[Player],Week_72[Deck]))</f>
        <v/>
      </c>
      <c r="AD15" t="str">
        <f>IF(Week_72Games[[#This Row],[Player 2]]="","",_xlfn.XLOOKUP(Week_72Games[[#This Row],[Player 2]],Week_72[Player],Week_72[Deck]))</f>
        <v/>
      </c>
    </row>
    <row r="16" spans="1:30" ht="14.25" customHeight="1" x14ac:dyDescent="0.3">
      <c r="B16" s="1"/>
      <c r="C16" s="2">
        <f>IF(ISBLANK(Week_72[[#This Row],[Player]]),-1,SUMIF(V:V,Week_72[[#This Row],[Player]],AA:AA)+SUMIF(W:W,Week_72[[#This Row],[Player]],AB:AB))</f>
        <v>-1</v>
      </c>
      <c r="D16" s="3" t="str" cm="1">
        <f t="array" ref="D16">_xlfn.IFS(Week_72[[#This Row],[Points]]=S$4+3,4,Week_72[[#This Row],[Points]]&gt;S$4,3,Week_72[[#This Row],[Points]]=S$4,2,Week_72[[#This Row],[Points]]&lt;S$4,"")</f>
        <v/>
      </c>
      <c r="E16" s="3" t="str">
        <f>IF(ISBLANK(Week_72[[#This Row],[Player]]),"",COUNTIFS(AA:AB,3,V:W,Week_72[[#This Row],[Player]]))</f>
        <v/>
      </c>
      <c r="F16" s="3" t="str">
        <f>IF(ISBLANK(Week_72[[#This Row],[Player]]),"",COUNTIFS(AA:AB,0,V:W,Week_72[[#This Row],[Player]]))</f>
        <v/>
      </c>
      <c r="G16" s="3" t="str">
        <f>IF(ISBLANK(Week_72[[#This Row],[Player]]),"",COUNTIFS(AA:AB,1,V:W,Week_72[[#This Row],[Player]]))</f>
        <v/>
      </c>
      <c r="H16" s="4" t="str">
        <f>IF(ISBLANK(Week_72[[#This Row],[Player]]),"",COUNTIFS(V:V,Week_72[[#This Row],[Player]],W:W,""))</f>
        <v/>
      </c>
      <c r="I16" s="4" t="str">
        <f>IF(ISBLANK(Week_72[[#This Row],[Player]]),"",COUNTIF(V:W,Week_72[[#This Row],[Player]]))</f>
        <v/>
      </c>
      <c r="J16" s="5" t="str">
        <f>IF(ISBLANK(Week_72[[#This Row],[Player]]),"",Week_72[[#This Row],[Win]]&amp;"-"&amp;Week_72[[#This Row],[Loss]]&amp;"-"&amp;Week_72[[#This Row],[Draw]])</f>
        <v/>
      </c>
      <c r="K16" s="6" t="str" cm="1">
        <f t="array" ref="K16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16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16" s="8" t="str" cm="1">
        <f t="array" ref="M16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16" s="7" t="str">
        <f>IF(ISBLANK(Week_72[[#This Row],[Player]]),"",MAX((1/3),IFERROR(Week_72[[#This Row],[Points]]/(Week_72[[#This Row],[Rounds]]*3),"")))</f>
        <v/>
      </c>
      <c r="O16"/>
      <c r="P16" s="9" t="str">
        <f>IF(Week_72[[#This Row],[Points]]&gt;=S$4,S$5*Week_72[[#This Row],[calcWin]]/SUM(Week_72[calcWin])+Week_72[[#This Row],[OMF Bonus]],IF(Week_72[[#This Row],[OMF Bonus]]&gt;0,Week_72[[#This Row],[OMF Bonus]],""))</f>
        <v/>
      </c>
      <c r="Q16"/>
      <c r="U16" t="str" cm="1">
        <f t="array" ref="U1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1</v>
      </c>
      <c r="V16" t="s">
        <v>43</v>
      </c>
      <c r="W16" t="s">
        <v>32</v>
      </c>
      <c r="X16">
        <v>0</v>
      </c>
      <c r="Y16">
        <v>2</v>
      </c>
      <c r="Z16">
        <v>0</v>
      </c>
      <c r="AA16" cm="1">
        <f t="array" ref="AA16">IF(AND(V16&lt;&gt;"",W16=""),3,_xlfn.IFS(AND(X16="",Y16=""),"",X16&gt;Y16,3,X16&lt;Y16,0,X16=Y16,1))</f>
        <v>0</v>
      </c>
      <c r="AB16" s="16">
        <f t="shared" si="0"/>
        <v>3</v>
      </c>
      <c r="AC16" t="str">
        <f>IF(Week_72Games[[#This Row],[Player 2]]="","",_xlfn.XLOOKUP(Week_72Games[[#This Row],[Player 1]],Week_72[Player],Week_72[Deck]))</f>
        <v>Death and Taxes</v>
      </c>
      <c r="AD16" t="str">
        <f>IF(Week_72Games[[#This Row],[Player 2]]="","",_xlfn.XLOOKUP(Week_72Games[[#This Row],[Player 2]],Week_72[Player],Week_72[Deck]))</f>
        <v>Rx Painter</v>
      </c>
    </row>
    <row r="17" spans="2:30" ht="14.25" customHeight="1" x14ac:dyDescent="0.3">
      <c r="B17" s="1"/>
      <c r="C17" s="2">
        <f>IF(ISBLANK(Week_72[[#This Row],[Player]]),-1,SUMIF(V:V,Week_72[[#This Row],[Player]],AA:AA)+SUMIF(W:W,Week_72[[#This Row],[Player]],AB:AB))</f>
        <v>-1</v>
      </c>
      <c r="D17" s="3" t="str" cm="1">
        <f t="array" ref="D17">_xlfn.IFS(Week_72[[#This Row],[Points]]=S$4+3,4,Week_72[[#This Row],[Points]]&gt;S$4,3,Week_72[[#This Row],[Points]]=S$4,2,Week_72[[#This Row],[Points]]&lt;S$4,"")</f>
        <v/>
      </c>
      <c r="E17" s="3" t="str">
        <f>IF(ISBLANK(Week_72[[#This Row],[Player]]),"",COUNTIFS(AA:AB,3,V:W,Week_72[[#This Row],[Player]]))</f>
        <v/>
      </c>
      <c r="F17" s="3" t="str">
        <f>IF(ISBLANK(Week_72[[#This Row],[Player]]),"",COUNTIFS(AA:AB,0,V:W,Week_72[[#This Row],[Player]]))</f>
        <v/>
      </c>
      <c r="G17" s="3" t="str">
        <f>IF(ISBLANK(Week_72[[#This Row],[Player]]),"",COUNTIFS(AA:AB,1,V:W,Week_72[[#This Row],[Player]]))</f>
        <v/>
      </c>
      <c r="H17" s="4" t="str">
        <f>IF(ISBLANK(Week_72[[#This Row],[Player]]),"",COUNTIFS(V:V,Week_72[[#This Row],[Player]],W:W,""))</f>
        <v/>
      </c>
      <c r="I17" s="4" t="str">
        <f>IF(ISBLANK(Week_72[[#This Row],[Player]]),"",COUNTIF(V:W,Week_72[[#This Row],[Player]]))</f>
        <v/>
      </c>
      <c r="J17" s="5" t="str">
        <f>IF(ISBLANK(Week_72[[#This Row],[Player]]),"",Week_72[[#This Row],[Win]]&amp;"-"&amp;Week_72[[#This Row],[Loss]]&amp;"-"&amp;Week_72[[#This Row],[Draw]])</f>
        <v/>
      </c>
      <c r="K17" s="6" t="str" cm="1">
        <f t="array" ref="K17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17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17" s="8" t="str" cm="1">
        <f t="array" ref="M17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17" s="7" t="str">
        <f>IF(ISBLANK(Week_72[[#This Row],[Player]]),"",MAX((1/3),IFERROR(Week_72[[#This Row],[Points]]/(Week_72[[#This Row],[Rounds]]*3),"")))</f>
        <v/>
      </c>
      <c r="O17"/>
      <c r="P17" s="9" t="str">
        <f>IF(Week_72[[#This Row],[Points]]&gt;=S$4,S$5*Week_72[[#This Row],[calcWin]]/SUM(Week_72[calcWin])+Week_72[[#This Row],[OMF Bonus]],IF(Week_72[[#This Row],[OMF Bonus]]&gt;0,Week_72[[#This Row],[OMF Bonus]],""))</f>
        <v/>
      </c>
      <c r="Q17"/>
      <c r="U17" t="str" cm="1">
        <f t="array" ref="U1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2</v>
      </c>
      <c r="V17" t="s">
        <v>39</v>
      </c>
      <c r="W17" t="s">
        <v>27</v>
      </c>
      <c r="X17">
        <v>0</v>
      </c>
      <c r="Y17">
        <v>2</v>
      </c>
      <c r="Z17">
        <v>0</v>
      </c>
      <c r="AA17" cm="1">
        <f t="array" ref="AA17">IF(AND(V17&lt;&gt;"",W17=""),3,_xlfn.IFS(AND(X17="",Y17=""),"",X17&gt;Y17,3,X17&lt;Y17,0,X17=Y17,1))</f>
        <v>0</v>
      </c>
      <c r="AB17" s="16">
        <f t="shared" si="0"/>
        <v>3</v>
      </c>
      <c r="AC17" t="str">
        <f>IF(Week_72Games[[#This Row],[Player 2]]="","",_xlfn.XLOOKUP(Week_72Games[[#This Row],[Player 1]],Week_72[Player],Week_72[Deck]))</f>
        <v>Grixis Tempo</v>
      </c>
      <c r="AD17" t="str">
        <f>IF(Week_72Games[[#This Row],[Player 2]]="","",_xlfn.XLOOKUP(Week_72Games[[#This Row],[Player 2]],Week_72[Player],Week_72[Deck]))</f>
        <v>Lands</v>
      </c>
    </row>
    <row r="18" spans="2:30" ht="14.25" customHeight="1" x14ac:dyDescent="0.3">
      <c r="C18" s="2">
        <f>IF(ISBLANK(Week_72[[#This Row],[Player]]),-1,SUMIF(V:V,Week_72[[#This Row],[Player]],AA:AA)+SUMIF(W:W,Week_72[[#This Row],[Player]],AB:AB))</f>
        <v>-1</v>
      </c>
      <c r="D18" s="3" t="str" cm="1">
        <f t="array" ref="D18">_xlfn.IFS(Week_72[[#This Row],[Points]]=S$4+3,4,Week_72[[#This Row],[Points]]&gt;S$4,3,Week_72[[#This Row],[Points]]=S$4,2,Week_72[[#This Row],[Points]]&lt;S$4,"")</f>
        <v/>
      </c>
      <c r="E18" s="3" t="str">
        <f>IF(ISBLANK(Week_72[[#This Row],[Player]]),"",COUNTIFS(AA:AB,3,V:W,Week_72[[#This Row],[Player]]))</f>
        <v/>
      </c>
      <c r="F18" s="3" t="str">
        <f>IF(ISBLANK(Week_72[[#This Row],[Player]]),"",COUNTIFS(AA:AB,0,V:W,Week_72[[#This Row],[Player]]))</f>
        <v/>
      </c>
      <c r="G18" s="3" t="str">
        <f>IF(ISBLANK(Week_72[[#This Row],[Player]]),"",COUNTIFS(AA:AB,1,V:W,Week_72[[#This Row],[Player]]))</f>
        <v/>
      </c>
      <c r="H18" s="4" t="str">
        <f>IF(ISBLANK(Week_72[[#This Row],[Player]]),"",COUNTIFS(V:V,Week_72[[#This Row],[Player]],W:W,""))</f>
        <v/>
      </c>
      <c r="I18" s="4" t="str">
        <f>IF(ISBLANK(Week_72[[#This Row],[Player]]),"",COUNTIF(V:W,Week_72[[#This Row],[Player]]))</f>
        <v/>
      </c>
      <c r="J18" s="5" t="str">
        <f>IF(ISBLANK(Week_72[[#This Row],[Player]]),"",Week_72[[#This Row],[Win]]&amp;"-"&amp;Week_72[[#This Row],[Loss]]&amp;"-"&amp;Week_72[[#This Row],[Draw]])</f>
        <v/>
      </c>
      <c r="K18" s="6" t="str" cm="1">
        <f t="array" ref="K18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18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18" s="8" t="str" cm="1">
        <f t="array" ref="M18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18" s="7" t="str">
        <f>IF(ISBLANK(Week_72[[#This Row],[Player]]),"",MAX((1/3),IFERROR(Week_72[[#This Row],[Points]]/(Week_72[[#This Row],[Rounds]]*3),"")))</f>
        <v/>
      </c>
      <c r="O18"/>
      <c r="P18" s="9" t="str">
        <f>IF(Week_72[[#This Row],[Points]]&gt;=S$4,S$5*Week_72[[#This Row],[calcWin]]/SUM(Week_72[calcWin])+Week_72[[#This Row],[OMF Bonus]],IF(Week_72[[#This Row],[OMF Bonus]]&gt;0,Week_72[[#This Row],[OMF Bonus]],""))</f>
        <v/>
      </c>
      <c r="Q18"/>
      <c r="U18" t="str" cm="1">
        <f t="array" ref="U1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3</v>
      </c>
      <c r="V18" t="s">
        <v>47</v>
      </c>
      <c r="W18" t="s">
        <v>38</v>
      </c>
      <c r="X18">
        <v>2</v>
      </c>
      <c r="Y18">
        <v>1</v>
      </c>
      <c r="Z18">
        <v>0</v>
      </c>
      <c r="AA18" cm="1">
        <f t="array" ref="AA18">IF(AND(V18&lt;&gt;"",W18=""),3,_xlfn.IFS(AND(X18="",Y18=""),"",X18&gt;Y18,3,X18&lt;Y18,0,X18=Y18,1))</f>
        <v>3</v>
      </c>
      <c r="AB18" s="16">
        <f t="shared" si="0"/>
        <v>0</v>
      </c>
      <c r="AC18" t="str">
        <f>IF(Week_72Games[[#This Row],[Player 2]]="","",_xlfn.XLOOKUP(Week_72Games[[#This Row],[Player 1]],Week_72[Player],Week_72[Deck]))</f>
        <v>Mystic Forge Combo</v>
      </c>
      <c r="AD18" t="str">
        <f>IF(Week_72Games[[#This Row],[Player 2]]="","",_xlfn.XLOOKUP(Week_72Games[[#This Row],[Player 2]],Week_72[Player],Week_72[Deck]))</f>
        <v>Elves</v>
      </c>
    </row>
    <row r="19" spans="2:30" ht="14.25" customHeight="1" x14ac:dyDescent="0.3">
      <c r="C19" s="2">
        <f>IF(ISBLANK(Week_72[[#This Row],[Player]]),-1,SUMIF(V:V,Week_72[[#This Row],[Player]],AA:AA)+SUMIF(W:W,Week_72[[#This Row],[Player]],AB:AB))</f>
        <v>-1</v>
      </c>
      <c r="D19" s="3" t="str" cm="1">
        <f t="array" ref="D19">_xlfn.IFS(Week_72[[#This Row],[Points]]=S$4+3,4,Week_72[[#This Row],[Points]]&gt;S$4,3,Week_72[[#This Row],[Points]]=S$4,2,Week_72[[#This Row],[Points]]&lt;S$4,"")</f>
        <v/>
      </c>
      <c r="E19" s="3" t="str">
        <f>IF(ISBLANK(Week_72[[#This Row],[Player]]),"",COUNTIFS(AA:AB,3,V:W,Week_72[[#This Row],[Player]]))</f>
        <v/>
      </c>
      <c r="F19" s="3" t="str">
        <f>IF(ISBLANK(Week_72[[#This Row],[Player]]),"",COUNTIFS(AA:AB,0,V:W,Week_72[[#This Row],[Player]]))</f>
        <v/>
      </c>
      <c r="G19" s="3" t="str">
        <f>IF(ISBLANK(Week_72[[#This Row],[Player]]),"",COUNTIFS(AA:AB,1,V:W,Week_72[[#This Row],[Player]]))</f>
        <v/>
      </c>
      <c r="H19" s="4" t="str">
        <f>IF(ISBLANK(Week_72[[#This Row],[Player]]),"",COUNTIFS(V:V,Week_72[[#This Row],[Player]],W:W,""))</f>
        <v/>
      </c>
      <c r="I19" s="4" t="str">
        <f>IF(ISBLANK(Week_72[[#This Row],[Player]]),"",COUNTIF(V:W,Week_72[[#This Row],[Player]]))</f>
        <v/>
      </c>
      <c r="J19" s="5" t="str">
        <f>IF(ISBLANK(Week_72[[#This Row],[Player]]),"",Week_72[[#This Row],[Win]]&amp;"-"&amp;Week_72[[#This Row],[Loss]]&amp;"-"&amp;Week_72[[#This Row],[Draw]])</f>
        <v/>
      </c>
      <c r="K19" s="6" t="str" cm="1">
        <f t="array" ref="K19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19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19" s="8" t="str" cm="1">
        <f t="array" ref="M19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19" s="7" t="str">
        <f>IF(ISBLANK(Week_72[[#This Row],[Player]]),"",MAX((1/3),IFERROR(Week_72[[#This Row],[Points]]/(Week_72[[#This Row],[Rounds]]*3),"")))</f>
        <v/>
      </c>
      <c r="O19"/>
      <c r="P19" s="9" t="str">
        <f>IF(Week_72[[#This Row],[Points]]&gt;=S$4,S$5*Week_72[[#This Row],[calcWin]]/SUM(Week_72[calcWin])+Week_72[[#This Row],[OMF Bonus]],IF(Week_72[[#This Row],[OMF Bonus]]&gt;0,Week_72[[#This Row],[OMF Bonus]],""))</f>
        <v/>
      </c>
      <c r="Q19"/>
      <c r="U19" t="str" cm="1">
        <f t="array" ref="U1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4</v>
      </c>
      <c r="V19" t="s">
        <v>35</v>
      </c>
      <c r="W19" t="s">
        <v>31</v>
      </c>
      <c r="X19">
        <v>2</v>
      </c>
      <c r="Y19">
        <v>0</v>
      </c>
      <c r="Z19">
        <v>0</v>
      </c>
      <c r="AA19" cm="1">
        <f t="array" ref="AA19">IF(AND(V19&lt;&gt;"",W19=""),3,_xlfn.IFS(AND(X19="",Y19=""),"",X19&gt;Y19,3,X19&lt;Y19,0,X19=Y19,1))</f>
        <v>3</v>
      </c>
      <c r="AB19" s="16">
        <f t="shared" si="0"/>
        <v>0</v>
      </c>
      <c r="AC19" t="str">
        <f>IF(Week_72Games[[#This Row],[Player 2]]="","",_xlfn.XLOOKUP(Week_72Games[[#This Row],[Player 1]],Week_72[Player],Week_72[Deck]))</f>
        <v>Mono B Reanimator</v>
      </c>
      <c r="AD19" t="str">
        <f>IF(Week_72Games[[#This Row],[Player 2]]="","",_xlfn.XLOOKUP(Week_72Games[[#This Row],[Player 2]],Week_72[Player],Week_72[Deck]))</f>
        <v>Nazu Wizards</v>
      </c>
    </row>
    <row r="20" spans="2:30" ht="14.25" customHeight="1" x14ac:dyDescent="0.3">
      <c r="B20" s="1"/>
      <c r="C20" s="2">
        <f>IF(ISBLANK(Week_72[[#This Row],[Player]]),-1,SUMIF(V:V,Week_72[[#This Row],[Player]],AA:AA)+SUMIF(W:W,Week_72[[#This Row],[Player]],AB:AB))</f>
        <v>-1</v>
      </c>
      <c r="D20" s="3" t="str" cm="1">
        <f t="array" ref="D20">_xlfn.IFS(Week_72[[#This Row],[Points]]=S$4+3,4,Week_72[[#This Row],[Points]]&gt;S$4,3,Week_72[[#This Row],[Points]]=S$4,2,Week_72[[#This Row],[Points]]&lt;S$4,"")</f>
        <v/>
      </c>
      <c r="E20" s="3" t="str">
        <f>IF(ISBLANK(Week_72[[#This Row],[Player]]),"",COUNTIFS(AA:AB,3,V:W,Week_72[[#This Row],[Player]]))</f>
        <v/>
      </c>
      <c r="F20" s="3" t="str">
        <f>IF(ISBLANK(Week_72[[#This Row],[Player]]),"",COUNTIFS(AA:AB,0,V:W,Week_72[[#This Row],[Player]]))</f>
        <v/>
      </c>
      <c r="G20" s="3" t="str">
        <f>IF(ISBLANK(Week_72[[#This Row],[Player]]),"",COUNTIFS(AA:AB,1,V:W,Week_72[[#This Row],[Player]]))</f>
        <v/>
      </c>
      <c r="H20" s="4" t="str">
        <f>IF(ISBLANK(Week_72[[#This Row],[Player]]),"",COUNTIFS(V:V,Week_72[[#This Row],[Player]],W:W,""))</f>
        <v/>
      </c>
      <c r="I20" s="4" t="str">
        <f>IF(ISBLANK(Week_72[[#This Row],[Player]]),"",COUNTIF(V:W,Week_72[[#This Row],[Player]]))</f>
        <v/>
      </c>
      <c r="J20" s="5" t="str">
        <f>IF(ISBLANK(Week_72[[#This Row],[Player]]),"",Week_72[[#This Row],[Win]]&amp;"-"&amp;Week_72[[#This Row],[Loss]]&amp;"-"&amp;Week_72[[#This Row],[Draw]])</f>
        <v/>
      </c>
      <c r="K20" s="6" t="str" cm="1">
        <f t="array" ref="K20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20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20" s="8" t="str" cm="1">
        <f t="array" ref="M20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20" s="7" t="str">
        <f>IF(ISBLANK(Week_72[[#This Row],[Player]]),"",MAX((1/3),IFERROR(Week_72[[#This Row],[Points]]/(Week_72[[#This Row],[Rounds]]*3),"")))</f>
        <v/>
      </c>
      <c r="O20"/>
      <c r="P20" s="9" t="str">
        <f>IF(Week_72[[#This Row],[Points]]&gt;=S$4,S$5*Week_72[[#This Row],[calcWin]]/SUM(Week_72[calcWin])+Week_72[[#This Row],[OMF Bonus]],IF(Week_72[[#This Row],[OMF Bonus]]&gt;0,Week_72[[#This Row],[OMF Bonus]],""))</f>
        <v/>
      </c>
      <c r="Q20"/>
      <c r="U20" t="str" cm="1">
        <f t="array" ref="U2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5</v>
      </c>
      <c r="V20" t="s">
        <v>46</v>
      </c>
      <c r="W20" t="s">
        <v>42</v>
      </c>
      <c r="X20">
        <v>1</v>
      </c>
      <c r="Y20">
        <v>2</v>
      </c>
      <c r="Z20">
        <v>0</v>
      </c>
      <c r="AA20" cm="1">
        <f t="array" ref="AA20">IF(AND(V20&lt;&gt;"",W20=""),3,_xlfn.IFS(AND(X20="",Y20=""),"",X20&gt;Y20,3,X20&lt;Y20,0,X20=Y20,1))</f>
        <v>0</v>
      </c>
      <c r="AB20" s="16">
        <f t="shared" si="0"/>
        <v>3</v>
      </c>
      <c r="AC20" t="str">
        <f>IF(Week_72Games[[#This Row],[Player 2]]="","",_xlfn.XLOOKUP(Week_72Games[[#This Row],[Player 1]],Week_72[Player],Week_72[Deck]))</f>
        <v>Moon Stompy</v>
      </c>
      <c r="AD20" t="str">
        <f>IF(Week_72Games[[#This Row],[Player 2]]="","",_xlfn.XLOOKUP(Week_72Games[[#This Row],[Player 2]],Week_72[Player],Week_72[Deck]))</f>
        <v>UR Tempo</v>
      </c>
    </row>
    <row r="21" spans="2:30" ht="14.25" customHeight="1" x14ac:dyDescent="0.3">
      <c r="B21" s="1"/>
      <c r="C21" s="2">
        <f>IF(ISBLANK(Week_72[[#This Row],[Player]]),-1,SUMIF(V:V,Week_72[[#This Row],[Player]],AA:AA)+SUMIF(W:W,Week_72[[#This Row],[Player]],AB:AB))</f>
        <v>-1</v>
      </c>
      <c r="D21" s="3" t="str" cm="1">
        <f t="array" ref="D21">_xlfn.IFS(Week_72[[#This Row],[Points]]=S$4+3,4,Week_72[[#This Row],[Points]]&gt;S$4,3,Week_72[[#This Row],[Points]]=S$4,2,Week_72[[#This Row],[Points]]&lt;S$4,"")</f>
        <v/>
      </c>
      <c r="E21" s="3" t="str">
        <f>IF(ISBLANK(Week_72[[#This Row],[Player]]),"",COUNTIFS(AA:AB,3,V:W,Week_72[[#This Row],[Player]]))</f>
        <v/>
      </c>
      <c r="F21" s="3" t="str">
        <f>IF(ISBLANK(Week_72[[#This Row],[Player]]),"",COUNTIFS(AA:AB,0,V:W,Week_72[[#This Row],[Player]]))</f>
        <v/>
      </c>
      <c r="G21" s="3" t="str">
        <f>IF(ISBLANK(Week_72[[#This Row],[Player]]),"",COUNTIFS(AA:AB,1,V:W,Week_72[[#This Row],[Player]]))</f>
        <v/>
      </c>
      <c r="H21" s="4" t="str">
        <f>IF(ISBLANK(Week_72[[#This Row],[Player]]),"",COUNTIFS(V:V,Week_72[[#This Row],[Player]],W:W,""))</f>
        <v/>
      </c>
      <c r="I21" s="4" t="str">
        <f>IF(ISBLANK(Week_72[[#This Row],[Player]]),"",COUNTIF(V:W,Week_72[[#This Row],[Player]]))</f>
        <v/>
      </c>
      <c r="J21" s="5" t="str">
        <f>IF(ISBLANK(Week_72[[#This Row],[Player]]),"",Week_72[[#This Row],[Win]]&amp;"-"&amp;Week_72[[#This Row],[Loss]]&amp;"-"&amp;Week_72[[#This Row],[Draw]])</f>
        <v/>
      </c>
      <c r="K21" s="6" t="str" cm="1">
        <f t="array" ref="K21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21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21" s="8" t="str" cm="1">
        <f t="array" ref="M21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21" s="7" t="str">
        <f>IF(ISBLANK(Week_72[[#This Row],[Player]]),"",MAX((1/3),IFERROR(Week_72[[#This Row],[Points]]/(Week_72[[#This Row],[Rounds]]*3),"")))</f>
        <v/>
      </c>
      <c r="O21"/>
      <c r="P21" s="9" t="str">
        <f>IF(Week_72[[#This Row],[Points]]&gt;=S$4,S$5*Week_72[[#This Row],[calcWin]]/SUM(Week_72[calcWin])+Week_72[[#This Row],[OMF Bonus]],IF(Week_72[[#This Row],[OMF Bonus]]&gt;0,Week_72[[#This Row],[OMF Bonus]],""))</f>
        <v/>
      </c>
      <c r="Q21"/>
      <c r="U21" t="str" cm="1">
        <f t="array" ref="U2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6</v>
      </c>
      <c r="V21" t="s">
        <v>30</v>
      </c>
      <c r="X21">
        <v>2</v>
      </c>
      <c r="Y21">
        <v>0</v>
      </c>
      <c r="Z21">
        <v>0</v>
      </c>
      <c r="AA21" cm="1">
        <f t="array" ref="AA21">IF(AND(V21&lt;&gt;"",W21=""),3,_xlfn.IFS(AND(X21="",Y21=""),"",X21&gt;Y21,3,X21&lt;Y21,0,X21=Y21,1))</f>
        <v>3</v>
      </c>
      <c r="AB21" s="16" t="str">
        <f t="shared" si="0"/>
        <v/>
      </c>
      <c r="AC21" t="str">
        <f>IF(Week_72Games[[#This Row],[Player 2]]="","",_xlfn.XLOOKUP(Week_72Games[[#This Row],[Player 1]],Week_72[Player],Week_72[Deck]))</f>
        <v/>
      </c>
      <c r="AD21" t="str">
        <f>IF(Week_72Games[[#This Row],[Player 2]]="","",_xlfn.XLOOKUP(Week_72Games[[#This Row],[Player 2]],Week_72[Player],Week_72[Deck]))</f>
        <v/>
      </c>
    </row>
    <row r="22" spans="2:30" ht="14.25" customHeight="1" x14ac:dyDescent="0.3">
      <c r="B22" s="1"/>
      <c r="C22" s="2">
        <f>IF(ISBLANK(Week_72[[#This Row],[Player]]),-1,SUMIF(V:V,Week_72[[#This Row],[Player]],AA:AA)+SUMIF(W:W,Week_72[[#This Row],[Player]],AB:AB))</f>
        <v>-1</v>
      </c>
      <c r="D22" s="3" t="str" cm="1">
        <f t="array" ref="D22">_xlfn.IFS(Week_72[[#This Row],[Points]]=S$4+3,4,Week_72[[#This Row],[Points]]&gt;S$4,3,Week_72[[#This Row],[Points]]=S$4,2,Week_72[[#This Row],[Points]]&lt;S$4,"")</f>
        <v/>
      </c>
      <c r="E22" s="3" t="str">
        <f>IF(ISBLANK(Week_72[[#This Row],[Player]]),"",COUNTIFS(AA:AB,3,V:W,Week_72[[#This Row],[Player]]))</f>
        <v/>
      </c>
      <c r="F22" s="3" t="str">
        <f>IF(ISBLANK(Week_72[[#This Row],[Player]]),"",COUNTIFS(AA:AB,0,V:W,Week_72[[#This Row],[Player]]))</f>
        <v/>
      </c>
      <c r="G22" s="3" t="str">
        <f>IF(ISBLANK(Week_72[[#This Row],[Player]]),"",COUNTIFS(AA:AB,1,V:W,Week_72[[#This Row],[Player]]))</f>
        <v/>
      </c>
      <c r="H22" s="4" t="str">
        <f>IF(ISBLANK(Week_72[[#This Row],[Player]]),"",COUNTIFS(V:V,Week_72[[#This Row],[Player]],W:W,""))</f>
        <v/>
      </c>
      <c r="I22" s="4" t="str">
        <f>IF(ISBLANK(Week_72[[#This Row],[Player]]),"",COUNTIF(V:W,Week_72[[#This Row],[Player]]))</f>
        <v/>
      </c>
      <c r="J22" s="5" t="str">
        <f>IF(ISBLANK(Week_72[[#This Row],[Player]]),"",Week_72[[#This Row],[Win]]&amp;"-"&amp;Week_72[[#This Row],[Loss]]&amp;"-"&amp;Week_72[[#This Row],[Draw]])</f>
        <v/>
      </c>
      <c r="K22" s="6" t="str" cm="1">
        <f t="array" ref="K22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22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22" s="8" t="str" cm="1">
        <f t="array" ref="M22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22" s="7" t="str">
        <f>IF(ISBLANK(Week_72[[#This Row],[Player]]),"",MAX((1/3),IFERROR(Week_72[[#This Row],[Points]]/(Week_72[[#This Row],[Rounds]]*3),"")))</f>
        <v/>
      </c>
      <c r="O22"/>
      <c r="P22" s="9" t="str">
        <f>IF(Week_72[[#This Row],[Points]]&gt;=S$4,S$5*Week_72[[#This Row],[calcWin]]/SUM(Week_72[calcWin])+Week_72[[#This Row],[OMF Bonus]],IF(Week_72[[#This Row],[OMF Bonus]]&gt;0,Week_72[[#This Row],[OMF Bonus]],""))</f>
        <v/>
      </c>
      <c r="Q22"/>
      <c r="U22" t="str" cm="1">
        <f t="array" ref="U2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Round 4</v>
      </c>
      <c r="AA22" t="str" cm="1">
        <f t="array" ref="AA22">IF(AND(V22&lt;&gt;"",W22=""),3,_xlfn.IFS(AND(X22="",Y22=""),"",X22&gt;Y22,3,X22&lt;Y22,0,X22=Y22,1))</f>
        <v/>
      </c>
      <c r="AB22" s="16" t="str">
        <f t="shared" si="0"/>
        <v/>
      </c>
      <c r="AC22" t="str">
        <f>IF(Week_72Games[[#This Row],[Player 2]]="","",_xlfn.XLOOKUP(Week_72Games[[#This Row],[Player 1]],Week_72[Player],Week_72[Deck]))</f>
        <v/>
      </c>
      <c r="AD22" t="str">
        <f>IF(Week_72Games[[#This Row],[Player 2]]="","",_xlfn.XLOOKUP(Week_72Games[[#This Row],[Player 2]],Week_72[Player],Week_72[Deck]))</f>
        <v/>
      </c>
    </row>
    <row r="23" spans="2:30" ht="14.25" customHeight="1" x14ac:dyDescent="0.3">
      <c r="B23" s="1"/>
      <c r="C23" s="2">
        <f>IF(ISBLANK(Week_72[[#This Row],[Player]]),-1,SUMIF(V:V,Week_72[[#This Row],[Player]],AA:AA)+SUMIF(W:W,Week_72[[#This Row],[Player]],AB:AB))</f>
        <v>-1</v>
      </c>
      <c r="D23" s="3" t="str" cm="1">
        <f t="array" ref="D23">_xlfn.IFS(Week_72[[#This Row],[Points]]=S$4+3,4,Week_72[[#This Row],[Points]]&gt;S$4,3,Week_72[[#This Row],[Points]]=S$4,2,Week_72[[#This Row],[Points]]&lt;S$4,"")</f>
        <v/>
      </c>
      <c r="E23" s="3" t="str">
        <f>IF(ISBLANK(Week_72[[#This Row],[Player]]),"",COUNTIFS(AA:AB,3,V:W,Week_72[[#This Row],[Player]]))</f>
        <v/>
      </c>
      <c r="F23" s="3" t="str">
        <f>IF(ISBLANK(Week_72[[#This Row],[Player]]),"",COUNTIFS(AA:AB,0,V:W,Week_72[[#This Row],[Player]]))</f>
        <v/>
      </c>
      <c r="G23" s="3" t="str">
        <f>IF(ISBLANK(Week_72[[#This Row],[Player]]),"",COUNTIFS(AA:AB,1,V:W,Week_72[[#This Row],[Player]]))</f>
        <v/>
      </c>
      <c r="H23" s="4" t="str">
        <f>IF(ISBLANK(Week_72[[#This Row],[Player]]),"",COUNTIFS(V:V,Week_72[[#This Row],[Player]],W:W,""))</f>
        <v/>
      </c>
      <c r="I23" s="4" t="str">
        <f>IF(ISBLANK(Week_72[[#This Row],[Player]]),"",COUNTIF(V:W,Week_72[[#This Row],[Player]]))</f>
        <v/>
      </c>
      <c r="J23" s="5" t="str">
        <f>IF(ISBLANK(Week_72[[#This Row],[Player]]),"",Week_72[[#This Row],[Win]]&amp;"-"&amp;Week_72[[#This Row],[Loss]]&amp;"-"&amp;Week_72[[#This Row],[Draw]])</f>
        <v/>
      </c>
      <c r="K23" s="6" t="str" cm="1">
        <f t="array" ref="K23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23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23" s="8" t="str" cm="1">
        <f t="array" ref="M23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23" s="7" t="str">
        <f>IF(ISBLANK(Week_72[[#This Row],[Player]]),"",MAX((1/3),IFERROR(Week_72[[#This Row],[Points]]/(Week_72[[#This Row],[Rounds]]*3),"")))</f>
        <v/>
      </c>
      <c r="O23"/>
      <c r="P23" s="9" t="str">
        <f>IF(Week_72[[#This Row],[Points]]&gt;=S$4,S$5*Week_72[[#This Row],[calcWin]]/SUM(Week_72[calcWin])+Week_72[[#This Row],[OMF Bonus]],IF(Week_72[[#This Row],[OMF Bonus]]&gt;0,Week_72[[#This Row],[OMF Bonus]],""))</f>
        <v/>
      </c>
      <c r="Q23" s="1"/>
      <c r="S23" s="1"/>
      <c r="T23" s="1"/>
      <c r="U23" t="str" cm="1">
        <f t="array" ref="U2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1</v>
      </c>
      <c r="V23" t="s">
        <v>32</v>
      </c>
      <c r="W23" t="s">
        <v>35</v>
      </c>
      <c r="X23">
        <v>1</v>
      </c>
      <c r="Y23">
        <v>2</v>
      </c>
      <c r="Z23">
        <v>0</v>
      </c>
      <c r="AA23" cm="1">
        <f t="array" ref="AA23">IF(AND(V23&lt;&gt;"",W23=""),3,_xlfn.IFS(AND(X23="",Y23=""),"",X23&gt;Y23,3,X23&lt;Y23,0,X23=Y23,1))</f>
        <v>0</v>
      </c>
      <c r="AB23" s="16">
        <f t="shared" si="0"/>
        <v>3</v>
      </c>
      <c r="AC23" t="str">
        <f>IF(Week_72Games[[#This Row],[Player 2]]="","",_xlfn.XLOOKUP(Week_72Games[[#This Row],[Player 1]],Week_72[Player],Week_72[Deck]))</f>
        <v>Rx Painter</v>
      </c>
      <c r="AD23" t="str">
        <f>IF(Week_72Games[[#This Row],[Player 2]]="","",_xlfn.XLOOKUP(Week_72Games[[#This Row],[Player 2]],Week_72[Player],Week_72[Deck]))</f>
        <v>Mono B Reanimator</v>
      </c>
    </row>
    <row r="24" spans="2:30" ht="14.25" customHeight="1" x14ac:dyDescent="0.3">
      <c r="B24" s="1"/>
      <c r="C24" s="2">
        <f>IF(ISBLANK(Week_72[[#This Row],[Player]]),-1,SUMIF(V:V,Week_72[[#This Row],[Player]],AA:AA)+SUMIF(W:W,Week_72[[#This Row],[Player]],AB:AB))</f>
        <v>-1</v>
      </c>
      <c r="D24" s="3" t="str" cm="1">
        <f t="array" ref="D24">_xlfn.IFS(Week_72[[#This Row],[Points]]=S$4+3,4,Week_72[[#This Row],[Points]]&gt;S$4,3,Week_72[[#This Row],[Points]]=S$4,2,Week_72[[#This Row],[Points]]&lt;S$4,"")</f>
        <v/>
      </c>
      <c r="E24" s="3" t="str">
        <f>IF(ISBLANK(Week_72[[#This Row],[Player]]),"",COUNTIFS(AA:AB,3,V:W,Week_72[[#This Row],[Player]]))</f>
        <v/>
      </c>
      <c r="F24" s="3" t="str">
        <f>IF(ISBLANK(Week_72[[#This Row],[Player]]),"",COUNTIFS(AA:AB,0,V:W,Week_72[[#This Row],[Player]]))</f>
        <v/>
      </c>
      <c r="G24" s="3" t="str">
        <f>IF(ISBLANK(Week_72[[#This Row],[Player]]),"",COUNTIFS(AA:AB,1,V:W,Week_72[[#This Row],[Player]]))</f>
        <v/>
      </c>
      <c r="H24" s="4" t="str">
        <f>IF(ISBLANK(Week_72[[#This Row],[Player]]),"",COUNTIFS(V:V,Week_72[[#This Row],[Player]],W:W,""))</f>
        <v/>
      </c>
      <c r="I24" s="4" t="str">
        <f>IF(ISBLANK(Week_72[[#This Row],[Player]]),"",COUNTIF(V:W,Week_72[[#This Row],[Player]]))</f>
        <v/>
      </c>
      <c r="J24" s="5" t="str">
        <f>IF(ISBLANK(Week_72[[#This Row],[Player]]),"",Week_72[[#This Row],[Win]]&amp;"-"&amp;Week_72[[#This Row],[Loss]]&amp;"-"&amp;Week_72[[#This Row],[Draw]])</f>
        <v/>
      </c>
      <c r="K24" s="6" t="str" cm="1">
        <f t="array" ref="K24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24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24" s="8" t="str" cm="1">
        <f t="array" ref="M24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24" s="7" t="str">
        <f>IF(ISBLANK(Week_72[[#This Row],[Player]]),"",MAX((1/3),IFERROR(Week_72[[#This Row],[Points]]/(Week_72[[#This Row],[Rounds]]*3),"")))</f>
        <v/>
      </c>
      <c r="O24"/>
      <c r="P24" s="9" t="str">
        <f>IF(Week_72[[#This Row],[Points]]&gt;=S$4,S$5*Week_72[[#This Row],[calcWin]]/SUM(Week_72[calcWin])+Week_72[[#This Row],[OMF Bonus]],IF(Week_72[[#This Row],[OMF Bonus]]&gt;0,Week_72[[#This Row],[OMF Bonus]],""))</f>
        <v/>
      </c>
      <c r="Q24" s="1"/>
      <c r="S24" s="1"/>
      <c r="T24" s="1"/>
      <c r="U24" t="str" cm="1">
        <f t="array" ref="U2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2</v>
      </c>
      <c r="V24" t="s">
        <v>43</v>
      </c>
      <c r="W24" t="s">
        <v>27</v>
      </c>
      <c r="X24">
        <v>1</v>
      </c>
      <c r="Y24">
        <v>2</v>
      </c>
      <c r="Z24">
        <v>0</v>
      </c>
      <c r="AA24" cm="1">
        <f t="array" ref="AA24">IF(AND(V24&lt;&gt;"",W24=""),3,_xlfn.IFS(AND(X24="",Y24=""),"",X24&gt;Y24,3,X24&lt;Y24,0,X24=Y24,1))</f>
        <v>0</v>
      </c>
      <c r="AB24" s="16">
        <f t="shared" si="0"/>
        <v>3</v>
      </c>
      <c r="AC24" t="str">
        <f>IF(Week_72Games[[#This Row],[Player 2]]="","",_xlfn.XLOOKUP(Week_72Games[[#This Row],[Player 1]],Week_72[Player],Week_72[Deck]))</f>
        <v>Death and Taxes</v>
      </c>
      <c r="AD24" t="str">
        <f>IF(Week_72Games[[#This Row],[Player 2]]="","",_xlfn.XLOOKUP(Week_72Games[[#This Row],[Player 2]],Week_72[Player],Week_72[Deck]))</f>
        <v>Lands</v>
      </c>
    </row>
    <row r="25" spans="2:30" ht="14.25" customHeight="1" x14ac:dyDescent="0.3">
      <c r="B25" s="1"/>
      <c r="C25" s="2">
        <f>IF(ISBLANK(Week_72[[#This Row],[Player]]),-1,SUMIF(V:V,Week_72[[#This Row],[Player]],AA:AA)+SUMIF(W:W,Week_72[[#This Row],[Player]],AB:AB))</f>
        <v>-1</v>
      </c>
      <c r="D25" s="3" t="str" cm="1">
        <f t="array" ref="D25">_xlfn.IFS(Week_72[[#This Row],[Points]]=S$4+3,4,Week_72[[#This Row],[Points]]&gt;S$4,3,Week_72[[#This Row],[Points]]=S$4,2,Week_72[[#This Row],[Points]]&lt;S$4,"")</f>
        <v/>
      </c>
      <c r="E25" s="3" t="str">
        <f>IF(ISBLANK(Week_72[[#This Row],[Player]]),"",COUNTIFS(AA:AB,3,V:W,Week_72[[#This Row],[Player]]))</f>
        <v/>
      </c>
      <c r="F25" s="3" t="str">
        <f>IF(ISBLANK(Week_72[[#This Row],[Player]]),"",COUNTIFS(AA:AB,0,V:W,Week_72[[#This Row],[Player]]))</f>
        <v/>
      </c>
      <c r="G25" s="3" t="str">
        <f>IF(ISBLANK(Week_72[[#This Row],[Player]]),"",COUNTIFS(AA:AB,1,V:W,Week_72[[#This Row],[Player]]))</f>
        <v/>
      </c>
      <c r="H25" s="4" t="str">
        <f>IF(ISBLANK(Week_72[[#This Row],[Player]]),"",COUNTIFS(V:V,Week_72[[#This Row],[Player]],W:W,""))</f>
        <v/>
      </c>
      <c r="I25" s="4" t="str">
        <f>IF(ISBLANK(Week_72[[#This Row],[Player]]),"",COUNTIF(V:W,Week_72[[#This Row],[Player]]))</f>
        <v/>
      </c>
      <c r="J25" s="5" t="str">
        <f>IF(ISBLANK(Week_72[[#This Row],[Player]]),"",Week_72[[#This Row],[Win]]&amp;"-"&amp;Week_72[[#This Row],[Loss]]&amp;"-"&amp;Week_72[[#This Row],[Draw]])</f>
        <v/>
      </c>
      <c r="K25" s="6" t="str" cm="1">
        <f t="array" ref="K25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25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25" s="8" t="str" cm="1">
        <f t="array" ref="M25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25" s="7" t="str">
        <f>IF(ISBLANK(Week_72[[#This Row],[Player]]),"",MAX((1/3),IFERROR(Week_72[[#This Row],[Points]]/(Week_72[[#This Row],[Rounds]]*3),"")))</f>
        <v/>
      </c>
      <c r="O25"/>
      <c r="P25" s="9" t="str">
        <f>IF(Week_72[[#This Row],[Points]]&gt;=S$4,S$5*Week_72[[#This Row],[calcWin]]/SUM(Week_72[calcWin])+Week_72[[#This Row],[OMF Bonus]],IF(Week_72[[#This Row],[OMF Bonus]]&gt;0,Week_72[[#This Row],[OMF Bonus]],""))</f>
        <v/>
      </c>
      <c r="Q25" s="9"/>
      <c r="R25" s="19" t="s">
        <v>55</v>
      </c>
      <c r="S25" s="1"/>
      <c r="T25" s="1"/>
      <c r="U25" t="str" cm="1">
        <f t="array" ref="U2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3</v>
      </c>
      <c r="V25" t="s">
        <v>39</v>
      </c>
      <c r="W25" t="s">
        <v>47</v>
      </c>
      <c r="X25">
        <v>2</v>
      </c>
      <c r="Y25">
        <v>0</v>
      </c>
      <c r="Z25">
        <v>0</v>
      </c>
      <c r="AA25" cm="1">
        <f t="array" ref="AA25">IF(AND(V25&lt;&gt;"",W25=""),3,_xlfn.IFS(AND(X25="",Y25=""),"",X25&gt;Y25,3,X25&lt;Y25,0,X25=Y25,1))</f>
        <v>3</v>
      </c>
      <c r="AB25" s="16">
        <f t="shared" si="0"/>
        <v>0</v>
      </c>
      <c r="AC25" t="str">
        <f>IF(Week_72Games[[#This Row],[Player 2]]="","",_xlfn.XLOOKUP(Week_72Games[[#This Row],[Player 1]],Week_72[Player],Week_72[Deck]))</f>
        <v>Grixis Tempo</v>
      </c>
      <c r="AD25" t="str">
        <f>IF(Week_72Games[[#This Row],[Player 2]]="","",_xlfn.XLOOKUP(Week_72Games[[#This Row],[Player 2]],Week_72[Player],Week_72[Deck]))</f>
        <v>Mystic Forge Combo</v>
      </c>
    </row>
    <row r="26" spans="2:30" ht="14.25" customHeight="1" x14ac:dyDescent="0.3">
      <c r="B26" s="1"/>
      <c r="C26" s="2">
        <f>IF(ISBLANK(Week_72[[#This Row],[Player]]),-1,SUMIF(V:V,Week_72[[#This Row],[Player]],AA:AA)+SUMIF(W:W,Week_72[[#This Row],[Player]],AB:AB))</f>
        <v>-1</v>
      </c>
      <c r="D26" s="3" t="str" cm="1">
        <f t="array" ref="D26">_xlfn.IFS(Week_72[[#This Row],[Points]]=S$4+3,4,Week_72[[#This Row],[Points]]&gt;S$4,3,Week_72[[#This Row],[Points]]=S$4,2,Week_72[[#This Row],[Points]]&lt;S$4,"")</f>
        <v/>
      </c>
      <c r="E26" s="3" t="str">
        <f>IF(ISBLANK(Week_72[[#This Row],[Player]]),"",COUNTIFS(AA:AB,3,V:W,Week_72[[#This Row],[Player]]))</f>
        <v/>
      </c>
      <c r="F26" s="3" t="str">
        <f>IF(ISBLANK(Week_72[[#This Row],[Player]]),"",COUNTIFS(AA:AB,0,V:W,Week_72[[#This Row],[Player]]))</f>
        <v/>
      </c>
      <c r="G26" s="3" t="str">
        <f>IF(ISBLANK(Week_72[[#This Row],[Player]]),"",COUNTIFS(AA:AB,1,V:W,Week_72[[#This Row],[Player]]))</f>
        <v/>
      </c>
      <c r="H26" s="4" t="str">
        <f>IF(ISBLANK(Week_72[[#This Row],[Player]]),"",COUNTIFS(V:V,Week_72[[#This Row],[Player]],W:W,""))</f>
        <v/>
      </c>
      <c r="I26" s="4" t="str">
        <f>IF(ISBLANK(Week_72[[#This Row],[Player]]),"",COUNTIF(V:W,Week_72[[#This Row],[Player]]))</f>
        <v/>
      </c>
      <c r="J26" s="5" t="str">
        <f>IF(ISBLANK(Week_72[[#This Row],[Player]]),"",Week_72[[#This Row],[Win]]&amp;"-"&amp;Week_72[[#This Row],[Loss]]&amp;"-"&amp;Week_72[[#This Row],[Draw]])</f>
        <v/>
      </c>
      <c r="K26" s="6" t="str" cm="1">
        <f t="array" ref="K26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26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26" s="8" t="str" cm="1">
        <f t="array" ref="M26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26" s="7" t="str">
        <f>IF(ISBLANK(Week_72[[#This Row],[Player]]),"",MAX((1/3),IFERROR(Week_72[[#This Row],[Points]]/(Week_72[[#This Row],[Rounds]]*3),"")))</f>
        <v/>
      </c>
      <c r="O26"/>
      <c r="P26" s="9" t="str">
        <f>IF(Week_72[[#This Row],[Points]]&gt;=S$4,S$5*Week_72[[#This Row],[calcWin]]/SUM(Week_72[calcWin])+Week_72[[#This Row],[OMF Bonus]],IF(Week_72[[#This Row],[OMF Bonus]]&gt;0,Week_72[[#This Row],[OMF Bonus]],""))</f>
        <v/>
      </c>
      <c r="Q26" s="9"/>
      <c r="R26" s="1"/>
      <c r="S26" s="1"/>
      <c r="T26" s="1"/>
      <c r="U26" t="str" cm="1">
        <f t="array" ref="U2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4</v>
      </c>
      <c r="V26" t="s">
        <v>38</v>
      </c>
      <c r="W26" t="s">
        <v>31</v>
      </c>
      <c r="X26">
        <v>2</v>
      </c>
      <c r="Y26">
        <v>0</v>
      </c>
      <c r="Z26">
        <v>0</v>
      </c>
      <c r="AA26" cm="1">
        <f t="array" ref="AA26">IF(AND(V26&lt;&gt;"",W26=""),3,_xlfn.IFS(AND(X26="",Y26=""),"",X26&gt;Y26,3,X26&lt;Y26,0,X26=Y26,1))</f>
        <v>3</v>
      </c>
      <c r="AB26" s="16">
        <f t="shared" si="0"/>
        <v>0</v>
      </c>
      <c r="AC26" t="str">
        <f>IF(Week_72Games[[#This Row],[Player 2]]="","",_xlfn.XLOOKUP(Week_72Games[[#This Row],[Player 1]],Week_72[Player],Week_72[Deck]))</f>
        <v>Elves</v>
      </c>
      <c r="AD26" t="str">
        <f>IF(Week_72Games[[#This Row],[Player 2]]="","",_xlfn.XLOOKUP(Week_72Games[[#This Row],[Player 2]],Week_72[Player],Week_72[Deck]))</f>
        <v>Nazu Wizards</v>
      </c>
    </row>
    <row r="27" spans="2:30" ht="14.25" customHeight="1" x14ac:dyDescent="0.3">
      <c r="B27" s="1"/>
      <c r="C27" s="2">
        <f>IF(ISBLANK(Week_72[[#This Row],[Player]]),-1,SUMIF(V:V,Week_72[[#This Row],[Player]],AA:AA)+SUMIF(W:W,Week_72[[#This Row],[Player]],AB:AB))</f>
        <v>-1</v>
      </c>
      <c r="D27" s="3" t="str" cm="1">
        <f t="array" ref="D27">_xlfn.IFS(Week_72[[#This Row],[Points]]=S$4+3,4,Week_72[[#This Row],[Points]]&gt;S$4,3,Week_72[[#This Row],[Points]]=S$4,2,Week_72[[#This Row],[Points]]&lt;S$4,"")</f>
        <v/>
      </c>
      <c r="E27" s="3" t="str">
        <f>IF(ISBLANK(Week_72[[#This Row],[Player]]),"",COUNTIFS(AA:AB,3,V:W,Week_72[[#This Row],[Player]]))</f>
        <v/>
      </c>
      <c r="F27" s="3" t="str">
        <f>IF(ISBLANK(Week_72[[#This Row],[Player]]),"",COUNTIFS(AA:AB,0,V:W,Week_72[[#This Row],[Player]]))</f>
        <v/>
      </c>
      <c r="G27" s="3" t="str">
        <f>IF(ISBLANK(Week_72[[#This Row],[Player]]),"",COUNTIFS(AA:AB,1,V:W,Week_72[[#This Row],[Player]]))</f>
        <v/>
      </c>
      <c r="H27" s="4" t="str">
        <f>IF(ISBLANK(Week_72[[#This Row],[Player]]),"",COUNTIFS(V:V,Week_72[[#This Row],[Player]],W:W,""))</f>
        <v/>
      </c>
      <c r="I27" s="4" t="str">
        <f>IF(ISBLANK(Week_72[[#This Row],[Player]]),"",COUNTIF(V:W,Week_72[[#This Row],[Player]]))</f>
        <v/>
      </c>
      <c r="J27" s="5" t="str">
        <f>IF(ISBLANK(Week_72[[#This Row],[Player]]),"",Week_72[[#This Row],[Win]]&amp;"-"&amp;Week_72[[#This Row],[Loss]]&amp;"-"&amp;Week_72[[#This Row],[Draw]])</f>
        <v/>
      </c>
      <c r="K27" s="6" t="str" cm="1">
        <f t="array" ref="K27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27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27" s="8" t="str" cm="1">
        <f t="array" ref="M27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27" s="7" t="str">
        <f>IF(ISBLANK(Week_72[[#This Row],[Player]]),"",MAX((1/3),IFERROR(Week_72[[#This Row],[Points]]/(Week_72[[#This Row],[Rounds]]*3),"")))</f>
        <v/>
      </c>
      <c r="O27"/>
      <c r="P27" s="9" t="str">
        <f>IF(Week_72[[#This Row],[Points]]&gt;=S$4,S$5*Week_72[[#This Row],[calcWin]]/SUM(Week_72[calcWin])+Week_72[[#This Row],[OMF Bonus]],IF(Week_72[[#This Row],[OMF Bonus]]&gt;0,Week_72[[#This Row],[OMF Bonus]],""))</f>
        <v/>
      </c>
      <c r="Q27" s="9"/>
      <c r="R27" s="1"/>
      <c r="S27" s="1"/>
      <c r="T27" s="1"/>
      <c r="U27" t="str" cm="1">
        <f t="array" ref="U2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5</v>
      </c>
      <c r="V27" t="s">
        <v>46</v>
      </c>
      <c r="W27" t="s">
        <v>30</v>
      </c>
      <c r="X27">
        <v>2</v>
      </c>
      <c r="Y27">
        <v>0</v>
      </c>
      <c r="Z27">
        <v>0</v>
      </c>
      <c r="AA27" cm="1">
        <f t="array" ref="AA27">IF(AND(V27&lt;&gt;"",W27=""),3,_xlfn.IFS(AND(X27="",Y27=""),"",X27&gt;Y27,3,X27&lt;Y27,0,X27=Y27,1))</f>
        <v>3</v>
      </c>
      <c r="AB27" s="16">
        <f t="shared" si="0"/>
        <v>0</v>
      </c>
      <c r="AC27" t="str">
        <f>IF(Week_72Games[[#This Row],[Player 2]]="","",_xlfn.XLOOKUP(Week_72Games[[#This Row],[Player 1]],Week_72[Player],Week_72[Deck]))</f>
        <v>Moon Stompy</v>
      </c>
      <c r="AD27" t="str">
        <f>IF(Week_72Games[[#This Row],[Player 2]]="","",_xlfn.XLOOKUP(Week_72Games[[#This Row],[Player 2]],Week_72[Player],Week_72[Deck]))</f>
        <v>Cloudpost</v>
      </c>
    </row>
    <row r="28" spans="2:30" ht="14.25" customHeight="1" x14ac:dyDescent="0.3">
      <c r="B28" s="1"/>
      <c r="C28" s="2">
        <f>IF(ISBLANK(Week_72[[#This Row],[Player]]),-1,SUMIF(V:V,Week_72[[#This Row],[Player]],AA:AA)+SUMIF(W:W,Week_72[[#This Row],[Player]],AB:AB))</f>
        <v>-1</v>
      </c>
      <c r="D28" s="3" t="str" cm="1">
        <f t="array" ref="D28">_xlfn.IFS(Week_72[[#This Row],[Points]]=S$4+3,4,Week_72[[#This Row],[Points]]&gt;S$4,3,Week_72[[#This Row],[Points]]=S$4,2,Week_72[[#This Row],[Points]]&lt;S$4,"")</f>
        <v/>
      </c>
      <c r="E28" s="3" t="str">
        <f>IF(ISBLANK(Week_72[[#This Row],[Player]]),"",COUNTIFS(AA:AB,3,V:W,Week_72[[#This Row],[Player]]))</f>
        <v/>
      </c>
      <c r="F28" s="3" t="str">
        <f>IF(ISBLANK(Week_72[[#This Row],[Player]]),"",COUNTIFS(AA:AB,0,V:W,Week_72[[#This Row],[Player]]))</f>
        <v/>
      </c>
      <c r="G28" s="3" t="str">
        <f>IF(ISBLANK(Week_72[[#This Row],[Player]]),"",COUNTIFS(AA:AB,1,V:W,Week_72[[#This Row],[Player]]))</f>
        <v/>
      </c>
      <c r="H28" s="4" t="str">
        <f>IF(ISBLANK(Week_72[[#This Row],[Player]]),"",COUNTIFS(V:V,Week_72[[#This Row],[Player]],W:W,""))</f>
        <v/>
      </c>
      <c r="I28" s="4" t="str">
        <f>IF(ISBLANK(Week_72[[#This Row],[Player]]),"",COUNTIF(V:W,Week_72[[#This Row],[Player]]))</f>
        <v/>
      </c>
      <c r="J28" s="5" t="str">
        <f>IF(ISBLANK(Week_72[[#This Row],[Player]]),"",Week_72[[#This Row],[Win]]&amp;"-"&amp;Week_72[[#This Row],[Loss]]&amp;"-"&amp;Week_72[[#This Row],[Draw]])</f>
        <v/>
      </c>
      <c r="K28" s="6" t="str" cm="1">
        <f t="array" ref="K28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28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28" s="8" t="str" cm="1">
        <f t="array" ref="M28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28" s="7" t="str">
        <f>IF(ISBLANK(Week_72[[#This Row],[Player]]),"",MAX((1/3),IFERROR(Week_72[[#This Row],[Points]]/(Week_72[[#This Row],[Rounds]]*3),"")))</f>
        <v/>
      </c>
      <c r="O28"/>
      <c r="P28" s="9" t="str">
        <f>IF(Week_72[[#This Row],[Points]]&gt;=S$4,S$5*Week_72[[#This Row],[calcWin]]/SUM(Week_72[calcWin])+Week_72[[#This Row],[OMF Bonus]],IF(Week_72[[#This Row],[OMF Bonus]]&gt;0,Week_72[[#This Row],[OMF Bonus]],""))</f>
        <v/>
      </c>
      <c r="Q28" s="9"/>
      <c r="R28" s="1"/>
      <c r="S28" s="1"/>
      <c r="T28" s="1"/>
      <c r="U28" t="str" cm="1">
        <f t="array" ref="U2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>Table 6</v>
      </c>
      <c r="V28" t="s">
        <v>42</v>
      </c>
      <c r="X28">
        <v>2</v>
      </c>
      <c r="Y28">
        <v>0</v>
      </c>
      <c r="Z28">
        <v>0</v>
      </c>
      <c r="AA28" cm="1">
        <f t="array" ref="AA28">IF(AND(V28&lt;&gt;"",W28=""),3,_xlfn.IFS(AND(X28="",Y28=""),"",X28&gt;Y28,3,X28&lt;Y28,0,X28=Y28,1))</f>
        <v>3</v>
      </c>
      <c r="AB28" s="16" t="str">
        <f t="shared" si="0"/>
        <v/>
      </c>
      <c r="AC28" t="str">
        <f>IF(Week_72Games[[#This Row],[Player 2]]="","",_xlfn.XLOOKUP(Week_72Games[[#This Row],[Player 1]],Week_72[Player],Week_72[Deck]))</f>
        <v/>
      </c>
      <c r="AD28" t="str">
        <f>IF(Week_72Games[[#This Row],[Player 2]]="","",_xlfn.XLOOKUP(Week_72Games[[#This Row],[Player 2]],Week_72[Player],Week_72[Deck]))</f>
        <v/>
      </c>
    </row>
    <row r="29" spans="2:30" ht="14.25" customHeight="1" x14ac:dyDescent="0.3">
      <c r="B29" s="1"/>
      <c r="C29" s="2">
        <f>IF(ISBLANK(Week_72[[#This Row],[Player]]),-1,SUMIF(V:V,Week_72[[#This Row],[Player]],AA:AA)+SUMIF(W:W,Week_72[[#This Row],[Player]],AB:AB))</f>
        <v>-1</v>
      </c>
      <c r="D29" s="3" t="str" cm="1">
        <f t="array" ref="D29">_xlfn.IFS(Week_72[[#This Row],[Points]]=S$4+3,4,Week_72[[#This Row],[Points]]&gt;S$4,3,Week_72[[#This Row],[Points]]=S$4,2,Week_72[[#This Row],[Points]]&lt;S$4,"")</f>
        <v/>
      </c>
      <c r="E29" s="3" t="str">
        <f>IF(ISBLANK(Week_72[[#This Row],[Player]]),"",COUNTIFS(AA:AB,3,V:W,Week_72[[#This Row],[Player]]))</f>
        <v/>
      </c>
      <c r="F29" s="3" t="str">
        <f>IF(ISBLANK(Week_72[[#This Row],[Player]]),"",COUNTIFS(AA:AB,0,V:W,Week_72[[#This Row],[Player]]))</f>
        <v/>
      </c>
      <c r="G29" s="3" t="str">
        <f>IF(ISBLANK(Week_72[[#This Row],[Player]]),"",COUNTIFS(AA:AB,1,V:W,Week_72[[#This Row],[Player]]))</f>
        <v/>
      </c>
      <c r="H29" s="4" t="str">
        <f>IF(ISBLANK(Week_72[[#This Row],[Player]]),"",COUNTIFS(V:V,Week_72[[#This Row],[Player]],W:W,""))</f>
        <v/>
      </c>
      <c r="I29" s="4" t="str">
        <f>IF(ISBLANK(Week_72[[#This Row],[Player]]),"",COUNTIF(V:W,Week_72[[#This Row],[Player]]))</f>
        <v/>
      </c>
      <c r="J29" s="5" t="str">
        <f>IF(ISBLANK(Week_72[[#This Row],[Player]]),"",Week_72[[#This Row],[Win]]&amp;"-"&amp;Week_72[[#This Row],[Loss]]&amp;"-"&amp;Week_72[[#This Row],[Draw]])</f>
        <v/>
      </c>
      <c r="K29" s="6" t="str" cm="1">
        <f t="array" ref="K29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29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29" s="8" t="str" cm="1">
        <f t="array" ref="M29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29" s="7" t="str">
        <f>IF(ISBLANK(Week_72[[#This Row],[Player]]),"",MAX((1/3),IFERROR(Week_72[[#This Row],[Points]]/(Week_72[[#This Row],[Rounds]]*3),"")))</f>
        <v/>
      </c>
      <c r="O29"/>
      <c r="P29" s="9" t="str">
        <f>IF(Week_72[[#This Row],[Points]]&gt;=S$4,S$5*Week_72[[#This Row],[calcWin]]/SUM(Week_72[calcWin])+Week_72[[#This Row],[OMF Bonus]],IF(Week_72[[#This Row],[OMF Bonus]]&gt;0,Week_72[[#This Row],[OMF Bonus]],""))</f>
        <v/>
      </c>
      <c r="Q29" s="9"/>
      <c r="R29" s="1"/>
      <c r="S29" s="1"/>
      <c r="T29" s="1"/>
      <c r="U29" t="str" cm="1">
        <f t="array" ref="U2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29" t="str" cm="1">
        <f t="array" ref="AA29">IF(AND(V29&lt;&gt;"",W29=""),3,_xlfn.IFS(AND(X29="",Y29=""),"",X29&gt;Y29,3,X29&lt;Y29,0,X29=Y29,1))</f>
        <v/>
      </c>
      <c r="AB29" s="16" t="str">
        <f t="shared" si="0"/>
        <v/>
      </c>
      <c r="AC29" t="str">
        <f>IF(Week_72Games[[#This Row],[Player 2]]="","",_xlfn.XLOOKUP(Week_72Games[[#This Row],[Player 1]],Week_72[Player],Week_72[Deck]))</f>
        <v/>
      </c>
      <c r="AD29" t="str">
        <f>IF(Week_72Games[[#This Row],[Player 2]]="","",_xlfn.XLOOKUP(Week_72Games[[#This Row],[Player 2]],Week_72[Player],Week_72[Deck]))</f>
        <v/>
      </c>
    </row>
    <row r="30" spans="2:30" ht="14.25" customHeight="1" x14ac:dyDescent="0.3">
      <c r="B30" s="1"/>
      <c r="C30" s="2">
        <f>IF(ISBLANK(Week_72[[#This Row],[Player]]),-1,SUMIF(V:V,Week_72[[#This Row],[Player]],AA:AA)+SUMIF(W:W,Week_72[[#This Row],[Player]],AB:AB))</f>
        <v>-1</v>
      </c>
      <c r="D30" s="3" t="str" cm="1">
        <f t="array" ref="D30">_xlfn.IFS(Week_72[[#This Row],[Points]]=S$4+3,4,Week_72[[#This Row],[Points]]&gt;S$4,3,Week_72[[#This Row],[Points]]=S$4,2,Week_72[[#This Row],[Points]]&lt;S$4,"")</f>
        <v/>
      </c>
      <c r="E30" s="3" t="str">
        <f>IF(ISBLANK(Week_72[[#This Row],[Player]]),"",COUNTIFS(AA:AB,3,V:W,Week_72[[#This Row],[Player]]))</f>
        <v/>
      </c>
      <c r="F30" s="3" t="str">
        <f>IF(ISBLANK(Week_72[[#This Row],[Player]]),"",COUNTIFS(AA:AB,0,V:W,Week_72[[#This Row],[Player]]))</f>
        <v/>
      </c>
      <c r="G30" s="3" t="str">
        <f>IF(ISBLANK(Week_72[[#This Row],[Player]]),"",COUNTIFS(AA:AB,1,V:W,Week_72[[#This Row],[Player]]))</f>
        <v/>
      </c>
      <c r="H30" s="4" t="str">
        <f>IF(ISBLANK(Week_72[[#This Row],[Player]]),"",COUNTIFS(V:V,Week_72[[#This Row],[Player]],W:W,""))</f>
        <v/>
      </c>
      <c r="I30" s="4" t="str">
        <f>IF(ISBLANK(Week_72[[#This Row],[Player]]),"",COUNTIF(V:W,Week_72[[#This Row],[Player]]))</f>
        <v/>
      </c>
      <c r="J30" s="5" t="str">
        <f>IF(ISBLANK(Week_72[[#This Row],[Player]]),"",Week_72[[#This Row],[Win]]&amp;"-"&amp;Week_72[[#This Row],[Loss]]&amp;"-"&amp;Week_72[[#This Row],[Draw]])</f>
        <v/>
      </c>
      <c r="K30" s="6" t="str" cm="1">
        <f t="array" ref="K30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30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30" s="8" t="str" cm="1">
        <f t="array" ref="M30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30" s="7" t="str">
        <f>IF(ISBLANK(Week_72[[#This Row],[Player]]),"",MAX((1/3),IFERROR(Week_72[[#This Row],[Points]]/(Week_72[[#This Row],[Rounds]]*3),"")))</f>
        <v/>
      </c>
      <c r="O30"/>
      <c r="P30" s="9" t="str">
        <f>IF(Week_72[[#This Row],[Points]]&gt;=S$4,S$5*Week_72[[#This Row],[calcWin]]/SUM(Week_72[calcWin])+Week_72[[#This Row],[OMF Bonus]],IF(Week_72[[#This Row],[OMF Bonus]]&gt;0,Week_72[[#This Row],[OMF Bonus]],""))</f>
        <v/>
      </c>
      <c r="Q30" s="9"/>
      <c r="R30" s="1"/>
      <c r="S30" s="1"/>
      <c r="T30" s="1"/>
      <c r="U30" t="str" cm="1">
        <f t="array" ref="U3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0" t="str" cm="1">
        <f t="array" ref="AA30">IF(AND(V30&lt;&gt;"",W30=""),3,_xlfn.IFS(AND(X30="",Y30=""),"",X30&gt;Y30,3,X30&lt;Y30,0,X30=Y30,1))</f>
        <v/>
      </c>
      <c r="AB30" s="16" t="str">
        <f t="shared" si="0"/>
        <v/>
      </c>
      <c r="AC30" t="str">
        <f>IF(Week_72Games[[#This Row],[Player 2]]="","",_xlfn.XLOOKUP(Week_72Games[[#This Row],[Player 1]],Week_72[Player],Week_72[Deck]))</f>
        <v/>
      </c>
      <c r="AD30" t="str">
        <f>IF(Week_72Games[[#This Row],[Player 2]]="","",_xlfn.XLOOKUP(Week_72Games[[#This Row],[Player 2]],Week_72[Player],Week_72[Deck]))</f>
        <v/>
      </c>
    </row>
    <row r="31" spans="2:30" ht="14.25" customHeight="1" x14ac:dyDescent="0.3">
      <c r="B31" s="1"/>
      <c r="C31" s="2">
        <f>IF(ISBLANK(Week_72[[#This Row],[Player]]),-1,SUMIF(V:V,Week_72[[#This Row],[Player]],AA:AA)+SUMIF(W:W,Week_72[[#This Row],[Player]],AB:AB))</f>
        <v>-1</v>
      </c>
      <c r="D31" s="3" t="str" cm="1">
        <f t="array" ref="D31">_xlfn.IFS(Week_72[[#This Row],[Points]]=S$4+3,4,Week_72[[#This Row],[Points]]&gt;S$4,3,Week_72[[#This Row],[Points]]=S$4,2,Week_72[[#This Row],[Points]]&lt;S$4,"")</f>
        <v/>
      </c>
      <c r="E31" s="3" t="str">
        <f>IF(ISBLANK(Week_72[[#This Row],[Player]]),"",COUNTIFS(AA:AB,3,V:W,Week_72[[#This Row],[Player]]))</f>
        <v/>
      </c>
      <c r="F31" s="3" t="str">
        <f>IF(ISBLANK(Week_72[[#This Row],[Player]]),"",COUNTIFS(AA:AB,0,V:W,Week_72[[#This Row],[Player]]))</f>
        <v/>
      </c>
      <c r="G31" s="3" t="str">
        <f>IF(ISBLANK(Week_72[[#This Row],[Player]]),"",COUNTIFS(AA:AB,1,V:W,Week_72[[#This Row],[Player]]))</f>
        <v/>
      </c>
      <c r="H31" s="4" t="str">
        <f>IF(ISBLANK(Week_72[[#This Row],[Player]]),"",COUNTIFS(V:V,Week_72[[#This Row],[Player]],W:W,""))</f>
        <v/>
      </c>
      <c r="I31" s="4" t="str">
        <f>IF(ISBLANK(Week_72[[#This Row],[Player]]),"",COUNTIF(V:W,Week_72[[#This Row],[Player]]))</f>
        <v/>
      </c>
      <c r="J31" s="5" t="str">
        <f>IF(ISBLANK(Week_72[[#This Row],[Player]]),"",Week_72[[#This Row],[Win]]&amp;"-"&amp;Week_72[[#This Row],[Loss]]&amp;"-"&amp;Week_72[[#This Row],[Draw]])</f>
        <v/>
      </c>
      <c r="K31" s="6" t="str" cm="1">
        <f t="array" ref="K31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31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31" s="8" t="str" cm="1">
        <f t="array" ref="M31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31" s="7" t="str">
        <f>IF(ISBLANK(Week_72[[#This Row],[Player]]),"",MAX((1/3),IFERROR(Week_72[[#This Row],[Points]]/(Week_72[[#This Row],[Rounds]]*3),"")))</f>
        <v/>
      </c>
      <c r="O31"/>
      <c r="P31" s="9" t="str">
        <f>IF(Week_72[[#This Row],[Points]]&gt;=S$4,S$5*Week_72[[#This Row],[calcWin]]/SUM(Week_72[calcWin])+Week_72[[#This Row],[OMF Bonus]],IF(Week_72[[#This Row],[OMF Bonus]]&gt;0,Week_72[[#This Row],[OMF Bonus]],""))</f>
        <v/>
      </c>
      <c r="Q31" s="9"/>
      <c r="R31" s="1"/>
      <c r="S31" s="1"/>
      <c r="T31" s="1"/>
      <c r="U31" t="str" cm="1">
        <f t="array" ref="U3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1" t="str" cm="1">
        <f t="array" ref="AA31">IF(AND(V31&lt;&gt;"",W31=""),3,_xlfn.IFS(AND(X31="",Y31=""),"",X31&gt;Y31,3,X31&lt;Y31,0,X31=Y31,1))</f>
        <v/>
      </c>
      <c r="AB31" s="16" t="str">
        <f t="shared" si="0"/>
        <v/>
      </c>
      <c r="AC31" t="str">
        <f>IF(Week_72Games[[#This Row],[Player 2]]="","",_xlfn.XLOOKUP(Week_72Games[[#This Row],[Player 1]],Week_72[Player],Week_72[Deck]))</f>
        <v/>
      </c>
      <c r="AD31" t="str">
        <f>IF(Week_72Games[[#This Row],[Player 2]]="","",_xlfn.XLOOKUP(Week_72Games[[#This Row],[Player 2]],Week_72[Player],Week_72[Deck]))</f>
        <v/>
      </c>
    </row>
    <row r="32" spans="2:30" ht="14.25" customHeight="1" x14ac:dyDescent="0.3">
      <c r="B32" s="1"/>
      <c r="C32" s="2">
        <f>IF(ISBLANK(Week_72[[#This Row],[Player]]),-1,SUMIF(V:V,Week_72[[#This Row],[Player]],AA:AA)+SUMIF(W:W,Week_72[[#This Row],[Player]],AB:AB))</f>
        <v>-1</v>
      </c>
      <c r="D32" s="3" t="str" cm="1">
        <f t="array" ref="D32">_xlfn.IFS(Week_72[[#This Row],[Points]]=S$4+3,4,Week_72[[#This Row],[Points]]&gt;S$4,3,Week_72[[#This Row],[Points]]=S$4,2,Week_72[[#This Row],[Points]]&lt;S$4,"")</f>
        <v/>
      </c>
      <c r="E32" s="3" t="str">
        <f>IF(ISBLANK(Week_72[[#This Row],[Player]]),"",COUNTIFS(AA:AB,3,V:W,Week_72[[#This Row],[Player]]))</f>
        <v/>
      </c>
      <c r="F32" s="3" t="str">
        <f>IF(ISBLANK(Week_72[[#This Row],[Player]]),"",COUNTIFS(AA:AB,0,V:W,Week_72[[#This Row],[Player]]))</f>
        <v/>
      </c>
      <c r="G32" s="3" t="str">
        <f>IF(ISBLANK(Week_72[[#This Row],[Player]]),"",COUNTIFS(AA:AB,1,V:W,Week_72[[#This Row],[Player]]))</f>
        <v/>
      </c>
      <c r="H32" s="4" t="str">
        <f>IF(ISBLANK(Week_72[[#This Row],[Player]]),"",COUNTIFS(V:V,Week_72[[#This Row],[Player]],W:W,""))</f>
        <v/>
      </c>
      <c r="I32" s="4" t="str">
        <f>IF(ISBLANK(Week_72[[#This Row],[Player]]),"",COUNTIF(V:W,Week_72[[#This Row],[Player]]))</f>
        <v/>
      </c>
      <c r="J32" s="5" t="str">
        <f>IF(ISBLANK(Week_72[[#This Row],[Player]]),"",Week_72[[#This Row],[Win]]&amp;"-"&amp;Week_72[[#This Row],[Loss]]&amp;"-"&amp;Week_72[[#This Row],[Draw]])</f>
        <v/>
      </c>
      <c r="K32" s="6" t="str" cm="1">
        <f t="array" ref="K32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32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32" s="8" t="str" cm="1">
        <f t="array" ref="M32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32" s="7" t="str">
        <f>IF(ISBLANK(Week_72[[#This Row],[Player]]),"",MAX((1/3),IFERROR(Week_72[[#This Row],[Points]]/(Week_72[[#This Row],[Rounds]]*3),"")))</f>
        <v/>
      </c>
      <c r="O32"/>
      <c r="P32" s="9" t="str">
        <f>IF(Week_72[[#This Row],[Points]]&gt;=S$4,S$5*Week_72[[#This Row],[calcWin]]/SUM(Week_72[calcWin])+Week_72[[#This Row],[OMF Bonus]],IF(Week_72[[#This Row],[OMF Bonus]]&gt;0,Week_72[[#This Row],[OMF Bonus]],""))</f>
        <v/>
      </c>
      <c r="Q32" s="9"/>
      <c r="R32" s="1"/>
      <c r="S32" s="1"/>
      <c r="T32" s="1"/>
      <c r="U32" t="str" cm="1">
        <f t="array" ref="U3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2" t="str" cm="1">
        <f t="array" ref="AA32">IF(AND(V32&lt;&gt;"",W32=""),3,_xlfn.IFS(AND(X32="",Y32=""),"",X32&gt;Y32,3,X32&lt;Y32,0,X32=Y32,1))</f>
        <v/>
      </c>
      <c r="AB32" s="16" t="str">
        <f t="shared" si="0"/>
        <v/>
      </c>
      <c r="AC32" t="str">
        <f>IF(Week_72Games[[#This Row],[Player 2]]="","",_xlfn.XLOOKUP(Week_72Games[[#This Row],[Player 1]],Week_72[Player],Week_72[Deck]))</f>
        <v/>
      </c>
      <c r="AD32" t="str">
        <f>IF(Week_72Games[[#This Row],[Player 2]]="","",_xlfn.XLOOKUP(Week_72Games[[#This Row],[Player 2]],Week_72[Player],Week_72[Deck]))</f>
        <v/>
      </c>
    </row>
    <row r="33" spans="2:30" ht="14.25" customHeight="1" x14ac:dyDescent="0.3">
      <c r="B33" s="1"/>
      <c r="C33" s="2">
        <f>IF(ISBLANK(Week_72[[#This Row],[Player]]),-1,SUMIF(V:V,Week_72[[#This Row],[Player]],AA:AA)+SUMIF(W:W,Week_72[[#This Row],[Player]],AB:AB))</f>
        <v>-1</v>
      </c>
      <c r="D33" s="3" t="str" cm="1">
        <f t="array" ref="D33">_xlfn.IFS(Week_72[[#This Row],[Points]]=S$4+3,4,Week_72[[#This Row],[Points]]&gt;S$4,3,Week_72[[#This Row],[Points]]=S$4,2,Week_72[[#This Row],[Points]]&lt;S$4,"")</f>
        <v/>
      </c>
      <c r="E33" s="3" t="str">
        <f>IF(ISBLANK(Week_72[[#This Row],[Player]]),"",COUNTIFS(AA:AB,3,V:W,Week_72[[#This Row],[Player]]))</f>
        <v/>
      </c>
      <c r="F33" s="3" t="str">
        <f>IF(ISBLANK(Week_72[[#This Row],[Player]]),"",COUNTIFS(AA:AB,0,V:W,Week_72[[#This Row],[Player]]))</f>
        <v/>
      </c>
      <c r="G33" s="3" t="str">
        <f>IF(ISBLANK(Week_72[[#This Row],[Player]]),"",COUNTIFS(AA:AB,1,V:W,Week_72[[#This Row],[Player]]))</f>
        <v/>
      </c>
      <c r="H33" s="4" t="str">
        <f>IF(ISBLANK(Week_72[[#This Row],[Player]]),"",COUNTIFS(V:V,Week_72[[#This Row],[Player]],W:W,""))</f>
        <v/>
      </c>
      <c r="I33" s="4" t="str">
        <f>IF(ISBLANK(Week_72[[#This Row],[Player]]),"",COUNTIF(V:W,Week_72[[#This Row],[Player]]))</f>
        <v/>
      </c>
      <c r="J33" s="5" t="str">
        <f>IF(ISBLANK(Week_72[[#This Row],[Player]]),"",Week_72[[#This Row],[Win]]&amp;"-"&amp;Week_72[[#This Row],[Loss]]&amp;"-"&amp;Week_72[[#This Row],[Draw]])</f>
        <v/>
      </c>
      <c r="K33" s="6" t="str" cm="1">
        <f t="array" ref="K33">IF(ISBLANK(Week_72[[#This Row],[Player]]),"",(AVERAGE(_xlfn.XLOOKUP(_xlfn.VSTACK(_xlfn._xlws.FILTER(W:W,V:V=Week_72[[#This Row],[Player]],""),_xlfn._xlws.FILTER(V:V,W:W=Week_72[[#This Row],[Player]],"")), Week_72[Player], Week_72[MW%], ""))))</f>
        <v/>
      </c>
      <c r="L33" s="7" t="str">
        <f>IF(ISBLANK(Week_72[[#This Row],[Player]]),"",MAX((SUMIF(V:W,Week_72[[#This Row],[Player]],X:Y))/(SUMIF(V:V, Week_72[[#This Row],[Player]], X:X) + SUMIF(V:V, Week_72[[#This Row],[Player]], Y:Y) + SUMIF(V:V, Week_72[[#This Row],[Player]], Z:Z)+SUMIF(W:W, Week_72[[#This Row],[Player]], X:X) + SUMIF(W:W, Week_72[[#This Row],[Player]], Y:Y) + SUMIF(W:W, Week_72[[#This Row],[Player]], Z:Z)),(1/3)))</f>
        <v/>
      </c>
      <c r="M33" s="8" t="str" cm="1">
        <f t="array" ref="M33">IF(ISBLANK(Week_72[[#This Row],[Player]]),"",(AVERAGE(_xlfn.XLOOKUP(_xlfn.VSTACK(_xlfn._xlws.FILTER(W:W,V:V=Week_72[[#This Row],[Player]],""),_xlfn._xlws.FILTER(V:V,W:W=Week_72[[#This Row],[Player]],"")), Week_72[Player], Week_72[GW%], ""))))</f>
        <v/>
      </c>
      <c r="N33" s="7" t="str">
        <f>IF(ISBLANK(Week_72[[#This Row],[Player]]),"",MAX((1/3),IFERROR(Week_72[[#This Row],[Points]]/(Week_72[[#This Row],[Rounds]]*3),"")))</f>
        <v/>
      </c>
      <c r="O33"/>
      <c r="P33" s="9" t="str">
        <f>IF(Week_72[[#This Row],[Points]]&gt;=S$4,S$5*Week_72[[#This Row],[calcWin]]/SUM(Week_72[calcWin])+Week_72[[#This Row],[OMF Bonus]],IF(Week_72[[#This Row],[OMF Bonus]]&gt;0,Week_72[[#This Row],[OMF Bonus]],""))</f>
        <v/>
      </c>
      <c r="Q33" s="9"/>
      <c r="R33" s="1"/>
      <c r="S33" s="1"/>
      <c r="T33" s="1"/>
      <c r="U33" t="str" cm="1">
        <f t="array" ref="U3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3" t="str" cm="1">
        <f t="array" ref="AA33">IF(AND(V33&lt;&gt;"",W33=""),3,_xlfn.IFS(AND(X33="",Y33=""),"",X33&gt;Y33,3,X33&lt;Y33,0,X33=Y33,1))</f>
        <v/>
      </c>
      <c r="AB33" s="16" t="str">
        <f t="shared" si="0"/>
        <v/>
      </c>
      <c r="AC33" t="str">
        <f>IF(Week_72Games[[#This Row],[Player 2]]="","",_xlfn.XLOOKUP(Week_72Games[[#This Row],[Player 1]],Week_72[Player],Week_72[Deck]))</f>
        <v/>
      </c>
      <c r="AD33" t="str">
        <f>IF(Week_72Games[[#This Row],[Player 2]]="","",_xlfn.XLOOKUP(Week_72Games[[#This Row],[Player 2]],Week_72[Player],Week_72[Deck]))</f>
        <v/>
      </c>
    </row>
    <row r="34" spans="2:30" ht="14.25" customHeight="1" x14ac:dyDescent="0.3">
      <c r="L34" s="7"/>
      <c r="N34" s="7"/>
      <c r="O34" s="9"/>
      <c r="P34" s="9"/>
      <c r="Q34" s="9"/>
      <c r="R34" s="9"/>
      <c r="S34" s="9"/>
      <c r="T34" s="9"/>
      <c r="U34" t="str" cm="1">
        <f t="array" ref="U3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4" t="str" cm="1">
        <f t="array" ref="AA34">IF(AND(V34&lt;&gt;"",W34=""),3,_xlfn.IFS(AND(X34="",Y34=""),"",X34&gt;Y34,3,X34&lt;Y34,0,X34=Y34,1))</f>
        <v/>
      </c>
      <c r="AB34" s="16" t="str">
        <f t="shared" si="0"/>
        <v/>
      </c>
      <c r="AC34" t="str">
        <f>IF(Week_72Games[[#This Row],[Player 2]]="","",_xlfn.XLOOKUP(Week_72Games[[#This Row],[Player 1]],Week_72[Player],Week_72[Deck]))</f>
        <v/>
      </c>
      <c r="AD34" t="str">
        <f>IF(Week_72Games[[#This Row],[Player 2]]="","",_xlfn.XLOOKUP(Week_72Games[[#This Row],[Player 2]],Week_72[Player],Week_72[Deck]))</f>
        <v/>
      </c>
    </row>
    <row r="35" spans="2:30" ht="14.25" customHeight="1" x14ac:dyDescent="0.3">
      <c r="L35" s="7"/>
      <c r="N35" s="7"/>
      <c r="O35" s="9"/>
      <c r="P35" s="9"/>
      <c r="Q35" s="9"/>
      <c r="R35" s="9"/>
      <c r="S35" s="9"/>
      <c r="T35" s="9"/>
      <c r="U35" t="str" cm="1">
        <f t="array" ref="U3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5" t="str" cm="1">
        <f t="array" ref="AA35">IF(AND(V35&lt;&gt;"",W35=""),3,_xlfn.IFS(AND(X35="",Y35=""),"",X35&gt;Y35,3,X35&lt;Y35,0,X35=Y35,1))</f>
        <v/>
      </c>
      <c r="AB35" s="16" t="str">
        <f t="shared" si="0"/>
        <v/>
      </c>
      <c r="AC35" t="str">
        <f>IF(Week_72Games[[#This Row],[Player 2]]="","",_xlfn.XLOOKUP(Week_72Games[[#This Row],[Player 1]],Week_72[Player],Week_72[Deck]))</f>
        <v/>
      </c>
      <c r="AD35" t="str">
        <f>IF(Week_72Games[[#This Row],[Player 2]]="","",_xlfn.XLOOKUP(Week_72Games[[#This Row],[Player 2]],Week_72[Player],Week_72[Deck]))</f>
        <v/>
      </c>
    </row>
    <row r="36" spans="2:30" ht="14.25" customHeight="1" x14ac:dyDescent="0.3">
      <c r="L36" s="7"/>
      <c r="N36" s="7"/>
      <c r="O36" s="9"/>
      <c r="P36" s="9"/>
      <c r="Q36" s="9"/>
      <c r="R36" s="9"/>
      <c r="S36" s="9"/>
      <c r="T36" s="9"/>
      <c r="U36" t="str" cm="1">
        <f t="array" ref="U3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6" t="str" cm="1">
        <f t="array" ref="AA36">IF(AND(V36&lt;&gt;"",W36=""),3,_xlfn.IFS(AND(X36="",Y36=""),"",X36&gt;Y36,3,X36&lt;Y36,0,X36=Y36,1))</f>
        <v/>
      </c>
      <c r="AB36" s="16" t="str">
        <f t="shared" si="0"/>
        <v/>
      </c>
      <c r="AC36" t="str">
        <f>IF(Week_72Games[[#This Row],[Player 2]]="","",_xlfn.XLOOKUP(Week_72Games[[#This Row],[Player 1]],Week_72[Player],Week_72[Deck]))</f>
        <v/>
      </c>
      <c r="AD36" t="str">
        <f>IF(Week_72Games[[#This Row],[Player 2]]="","",_xlfn.XLOOKUP(Week_72Games[[#This Row],[Player 2]],Week_72[Player],Week_72[Deck]))</f>
        <v/>
      </c>
    </row>
    <row r="37" spans="2:30" ht="14.25" customHeight="1" x14ac:dyDescent="0.3">
      <c r="L37" s="7"/>
      <c r="N37" s="7"/>
      <c r="O37" s="9"/>
      <c r="P37" s="9"/>
      <c r="Q37" s="9"/>
      <c r="R37" s="9"/>
      <c r="S37" s="9"/>
      <c r="T37" s="9"/>
      <c r="U37" t="str" cm="1">
        <f t="array" ref="U3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7" t="str" cm="1">
        <f t="array" ref="AA37">IF(AND(V37&lt;&gt;"",W37=""),3,_xlfn.IFS(AND(X37="",Y37=""),"",X37&gt;Y37,3,X37&lt;Y37,0,X37=Y37,1))</f>
        <v/>
      </c>
      <c r="AB37" s="16" t="str">
        <f t="shared" si="0"/>
        <v/>
      </c>
      <c r="AC37" t="str">
        <f>IF(Week_72Games[[#This Row],[Player 2]]="","",_xlfn.XLOOKUP(Week_72Games[[#This Row],[Player 1]],Week_72[Player],Week_72[Deck]))</f>
        <v/>
      </c>
      <c r="AD37" t="str">
        <f>IF(Week_72Games[[#This Row],[Player 2]]="","",_xlfn.XLOOKUP(Week_72Games[[#This Row],[Player 2]],Week_72[Player],Week_72[Deck]))</f>
        <v/>
      </c>
    </row>
    <row r="38" spans="2:30" ht="14.25" customHeight="1" x14ac:dyDescent="0.3">
      <c r="L38" s="7"/>
      <c r="N38" s="7"/>
      <c r="O38" s="9"/>
      <c r="P38" s="9"/>
      <c r="Q38" s="9"/>
      <c r="R38" s="9"/>
      <c r="S38" s="9"/>
      <c r="T38" s="9"/>
      <c r="U38" t="str" cm="1">
        <f t="array" ref="U3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8" t="str" cm="1">
        <f t="array" ref="AA38">IF(AND(V38&lt;&gt;"",W38=""),3,_xlfn.IFS(AND(X38="",Y38=""),"",X38&gt;Y38,3,X38&lt;Y38,0,X38=Y38,1))</f>
        <v/>
      </c>
      <c r="AB38" s="16" t="str">
        <f t="shared" si="0"/>
        <v/>
      </c>
      <c r="AC38" t="str">
        <f>IF(Week_72Games[[#This Row],[Player 2]]="","",_xlfn.XLOOKUP(Week_72Games[[#This Row],[Player 1]],Week_72[Player],Week_72[Deck]))</f>
        <v/>
      </c>
      <c r="AD38" t="str">
        <f>IF(Week_72Games[[#This Row],[Player 2]]="","",_xlfn.XLOOKUP(Week_72Games[[#This Row],[Player 2]],Week_72[Player],Week_72[Deck]))</f>
        <v/>
      </c>
    </row>
    <row r="39" spans="2:30" ht="14.25" customHeight="1" x14ac:dyDescent="0.3">
      <c r="L39" s="7"/>
      <c r="N39" s="7"/>
      <c r="O39" s="9"/>
      <c r="P39" s="9"/>
      <c r="Q39" s="9"/>
      <c r="R39" s="9"/>
      <c r="S39" s="9"/>
      <c r="T39" s="9"/>
      <c r="U39" t="str" cm="1">
        <f t="array" ref="U3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39" t="str" cm="1">
        <f t="array" ref="AA39">IF(AND(V39&lt;&gt;"",W39=""),3,_xlfn.IFS(AND(X39="",Y39=""),"",X39&gt;Y39,3,X39&lt;Y39,0,X39=Y39,1))</f>
        <v/>
      </c>
      <c r="AB39" s="16" t="str">
        <f t="shared" si="0"/>
        <v/>
      </c>
      <c r="AC39" t="str">
        <f>IF(Week_72Games[[#This Row],[Player 2]]="","",_xlfn.XLOOKUP(Week_72Games[[#This Row],[Player 1]],Week_72[Player],Week_72[Deck]))</f>
        <v/>
      </c>
      <c r="AD39" t="str">
        <f>IF(Week_72Games[[#This Row],[Player 2]]="","",_xlfn.XLOOKUP(Week_72Games[[#This Row],[Player 2]],Week_72[Player],Week_72[Deck]))</f>
        <v/>
      </c>
    </row>
    <row r="40" spans="2:30" ht="14.25" customHeight="1" x14ac:dyDescent="0.3">
      <c r="L40" s="7"/>
      <c r="N40" s="7"/>
      <c r="O40" s="9"/>
      <c r="P40" s="9"/>
      <c r="Q40" s="9"/>
      <c r="R40" s="9"/>
      <c r="S40" s="9"/>
      <c r="T40" s="9"/>
      <c r="U40" t="str" cm="1">
        <f t="array" ref="U4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0" t="str" cm="1">
        <f t="array" ref="AA40">IF(AND(V40&lt;&gt;"",W40=""),3,_xlfn.IFS(AND(X40="",Y40=""),"",X40&gt;Y40,3,X40&lt;Y40,0,X40=Y40,1))</f>
        <v/>
      </c>
      <c r="AB40" s="16" t="str">
        <f t="shared" si="0"/>
        <v/>
      </c>
      <c r="AC40" t="str">
        <f>IF(Week_72Games[[#This Row],[Player 2]]="","",_xlfn.XLOOKUP(Week_72Games[[#This Row],[Player 1]],Week_72[Player],Week_72[Deck]))</f>
        <v/>
      </c>
      <c r="AD40" t="str">
        <f>IF(Week_72Games[[#This Row],[Player 2]]="","",_xlfn.XLOOKUP(Week_72Games[[#This Row],[Player 2]],Week_72[Player],Week_72[Deck]))</f>
        <v/>
      </c>
    </row>
    <row r="41" spans="2:30" ht="14.25" customHeight="1" x14ac:dyDescent="0.3">
      <c r="L41" s="7"/>
      <c r="N41" s="7"/>
      <c r="O41" s="9"/>
      <c r="P41" s="9"/>
      <c r="Q41" s="9"/>
      <c r="R41" s="9"/>
      <c r="S41" s="9"/>
      <c r="T41" s="9"/>
      <c r="U41" t="str" cm="1">
        <f t="array" ref="U4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1" t="str" cm="1">
        <f t="array" ref="AA41">IF(AND(V41&lt;&gt;"",W41=""),3,_xlfn.IFS(AND(X41="",Y41=""),"",X41&gt;Y41,3,X41&lt;Y41,0,X41=Y41,1))</f>
        <v/>
      </c>
      <c r="AB41" s="16" t="str">
        <f t="shared" si="0"/>
        <v/>
      </c>
      <c r="AC41" t="str">
        <f>IF(Week_72Games[[#This Row],[Player 2]]="","",_xlfn.XLOOKUP(Week_72Games[[#This Row],[Player 1]],Week_72[Player],Week_72[Deck]))</f>
        <v/>
      </c>
      <c r="AD41" t="str">
        <f>IF(Week_72Games[[#This Row],[Player 2]]="","",_xlfn.XLOOKUP(Week_72Games[[#This Row],[Player 2]],Week_72[Player],Week_72[Deck]))</f>
        <v/>
      </c>
    </row>
    <row r="42" spans="2:30" ht="14.25" customHeight="1" x14ac:dyDescent="0.3">
      <c r="L42" s="7"/>
      <c r="N42" s="7"/>
      <c r="O42" s="9"/>
      <c r="P42" s="9"/>
      <c r="Q42" s="9"/>
      <c r="R42" s="9"/>
      <c r="S42" s="9"/>
      <c r="T42" s="9"/>
      <c r="U42" t="str" cm="1">
        <f t="array" ref="U4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2" t="str" cm="1">
        <f t="array" ref="AA42">IF(AND(V42&lt;&gt;"",W42=""),3,_xlfn.IFS(AND(X42="",Y42=""),"",X42&gt;Y42,3,X42&lt;Y42,0,X42=Y42,1))</f>
        <v/>
      </c>
      <c r="AB42" s="16" t="str">
        <f t="shared" si="0"/>
        <v/>
      </c>
      <c r="AC42" t="str">
        <f>IF(Week_72Games[[#This Row],[Player 2]]="","",_xlfn.XLOOKUP(Week_72Games[[#This Row],[Player 1]],Week_72[Player],Week_72[Deck]))</f>
        <v/>
      </c>
      <c r="AD42" t="str">
        <f>IF(Week_72Games[[#This Row],[Player 2]]="","",_xlfn.XLOOKUP(Week_72Games[[#This Row],[Player 2]],Week_72[Player],Week_72[Deck]))</f>
        <v/>
      </c>
    </row>
    <row r="43" spans="2:30" ht="14.25" customHeight="1" x14ac:dyDescent="0.3">
      <c r="L43" s="7"/>
      <c r="N43" s="7"/>
      <c r="O43" s="9"/>
      <c r="P43" s="9"/>
      <c r="Q43" s="9"/>
      <c r="R43" s="9"/>
      <c r="S43" s="9"/>
      <c r="T43" s="9"/>
      <c r="U43" t="str" cm="1">
        <f t="array" ref="U4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3" t="str" cm="1">
        <f t="array" ref="AA43">IF(AND(V43&lt;&gt;"",W43=""),3,_xlfn.IFS(AND(X43="",Y43=""),"",X43&gt;Y43,3,X43&lt;Y43,0,X43=Y43,1))</f>
        <v/>
      </c>
      <c r="AB43" s="16" t="str">
        <f t="shared" si="0"/>
        <v/>
      </c>
      <c r="AC43" t="str">
        <f>IF(Week_72Games[[#This Row],[Player 2]]="","",_xlfn.XLOOKUP(Week_72Games[[#This Row],[Player 1]],Week_72[Player],Week_72[Deck]))</f>
        <v/>
      </c>
      <c r="AD43" t="str">
        <f>IF(Week_72Games[[#This Row],[Player 2]]="","",_xlfn.XLOOKUP(Week_72Games[[#This Row],[Player 2]],Week_72[Player],Week_72[Deck]))</f>
        <v/>
      </c>
    </row>
    <row r="44" spans="2:30" ht="14.25" customHeight="1" x14ac:dyDescent="0.3">
      <c r="L44" s="7"/>
      <c r="N44" s="7"/>
      <c r="O44" s="9"/>
      <c r="P44" s="9"/>
      <c r="Q44" s="9"/>
      <c r="R44" s="9"/>
      <c r="S44" s="9"/>
      <c r="T44" s="9"/>
      <c r="U44" t="str" cm="1">
        <f t="array" ref="U4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4" t="str" cm="1">
        <f t="array" ref="AA44">IF(AND(V44&lt;&gt;"",W44=""),3,_xlfn.IFS(AND(X44="",Y44=""),"",X44&gt;Y44,3,X44&lt;Y44,0,X44=Y44,1))</f>
        <v/>
      </c>
      <c r="AB44" s="16" t="str">
        <f t="shared" si="0"/>
        <v/>
      </c>
      <c r="AC44" t="str">
        <f>IF(Week_72Games[[#This Row],[Player 2]]="","",_xlfn.XLOOKUP(Week_72Games[[#This Row],[Player 1]],Week_72[Player],Week_72[Deck]))</f>
        <v/>
      </c>
      <c r="AD44" t="str">
        <f>IF(Week_72Games[[#This Row],[Player 2]]="","",_xlfn.XLOOKUP(Week_72Games[[#This Row],[Player 2]],Week_72[Player],Week_72[Deck]))</f>
        <v/>
      </c>
    </row>
    <row r="45" spans="2:30" ht="14.25" customHeight="1" x14ac:dyDescent="0.3">
      <c r="L45" s="7"/>
      <c r="N45" s="7"/>
      <c r="O45" s="9"/>
      <c r="P45" s="9"/>
      <c r="Q45" s="9"/>
      <c r="R45" s="9"/>
      <c r="S45" s="9"/>
      <c r="T45" s="9"/>
      <c r="U45" t="str" cm="1">
        <f t="array" ref="U4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5" t="str" cm="1">
        <f t="array" ref="AA45">IF(AND(V45&lt;&gt;"",W45=""),3,_xlfn.IFS(AND(X45="",Y45=""),"",X45&gt;Y45,3,X45&lt;Y45,0,X45=Y45,1))</f>
        <v/>
      </c>
      <c r="AB45" s="16" t="str">
        <f t="shared" si="0"/>
        <v/>
      </c>
      <c r="AC45" t="str">
        <f>IF(Week_72Games[[#This Row],[Player 2]]="","",_xlfn.XLOOKUP(Week_72Games[[#This Row],[Player 1]],Week_72[Player],Week_72[Deck]))</f>
        <v/>
      </c>
      <c r="AD45" t="str">
        <f>IF(Week_72Games[[#This Row],[Player 2]]="","",_xlfn.XLOOKUP(Week_72Games[[#This Row],[Player 2]],Week_72[Player],Week_72[Deck]))</f>
        <v/>
      </c>
    </row>
    <row r="46" spans="2:30" ht="14.25" customHeight="1" x14ac:dyDescent="0.3">
      <c r="L46" s="7"/>
      <c r="N46" s="7"/>
      <c r="O46" s="9"/>
      <c r="P46" s="9"/>
      <c r="Q46" s="9"/>
      <c r="R46" s="9"/>
      <c r="S46" s="9"/>
      <c r="T46" s="9"/>
      <c r="U46" t="str" cm="1">
        <f t="array" ref="U4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6" t="str" cm="1">
        <f t="array" ref="AA46">IF(AND(V46&lt;&gt;"",W46=""),3,_xlfn.IFS(AND(X46="",Y46=""),"",X46&gt;Y46,3,X46&lt;Y46,0,X46=Y46,1))</f>
        <v/>
      </c>
      <c r="AB46" s="16" t="str">
        <f t="shared" si="0"/>
        <v/>
      </c>
      <c r="AC46" t="str">
        <f>IF(Week_72Games[[#This Row],[Player 2]]="","",_xlfn.XLOOKUP(Week_72Games[[#This Row],[Player 1]],Week_72[Player],Week_72[Deck]))</f>
        <v/>
      </c>
      <c r="AD46" t="str">
        <f>IF(Week_72Games[[#This Row],[Player 2]]="","",_xlfn.XLOOKUP(Week_72Games[[#This Row],[Player 2]],Week_72[Player],Week_72[Deck]))</f>
        <v/>
      </c>
    </row>
    <row r="47" spans="2:30" ht="14.25" customHeight="1" x14ac:dyDescent="0.3">
      <c r="L47" s="7"/>
      <c r="N47" s="7"/>
      <c r="O47" s="9"/>
      <c r="P47" s="9"/>
      <c r="Q47" s="9"/>
      <c r="R47" s="9"/>
      <c r="S47" s="9"/>
      <c r="T47" s="9"/>
      <c r="U47" t="str" cm="1">
        <f t="array" ref="U4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7" t="str" cm="1">
        <f t="array" ref="AA47">IF(AND(V47&lt;&gt;"",W47=""),3,_xlfn.IFS(AND(X47="",Y47=""),"",X47&gt;Y47,3,X47&lt;Y47,0,X47=Y47,1))</f>
        <v/>
      </c>
      <c r="AB47" s="16" t="str">
        <f t="shared" si="0"/>
        <v/>
      </c>
      <c r="AC47" t="str">
        <f>IF(Week_72Games[[#This Row],[Player 2]]="","",_xlfn.XLOOKUP(Week_72Games[[#This Row],[Player 1]],Week_72[Player],Week_72[Deck]))</f>
        <v/>
      </c>
      <c r="AD47" t="str">
        <f>IF(Week_72Games[[#This Row],[Player 2]]="","",_xlfn.XLOOKUP(Week_72Games[[#This Row],[Player 2]],Week_72[Player],Week_72[Deck]))</f>
        <v/>
      </c>
    </row>
    <row r="48" spans="2:30" ht="14.25" customHeight="1" x14ac:dyDescent="0.3">
      <c r="L48" s="7"/>
      <c r="N48" s="7"/>
      <c r="O48" s="9"/>
      <c r="P48" s="9"/>
      <c r="Q48" s="9"/>
      <c r="R48" s="9"/>
      <c r="S48" s="9"/>
      <c r="T48" s="9"/>
      <c r="U48" t="str" cm="1">
        <f t="array" ref="U4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8" t="str" cm="1">
        <f t="array" ref="AA48">IF(AND(V48&lt;&gt;"",W48=""),3,_xlfn.IFS(AND(X48="",Y48=""),"",X48&gt;Y48,3,X48&lt;Y48,0,X48=Y48,1))</f>
        <v/>
      </c>
      <c r="AB48" s="16" t="str">
        <f t="shared" si="0"/>
        <v/>
      </c>
      <c r="AC48" t="str">
        <f>IF(Week_72Games[[#This Row],[Player 2]]="","",_xlfn.XLOOKUP(Week_72Games[[#This Row],[Player 1]],Week_72[Player],Week_72[Deck]))</f>
        <v/>
      </c>
      <c r="AD48" t="str">
        <f>IF(Week_72Games[[#This Row],[Player 2]]="","",_xlfn.XLOOKUP(Week_72Games[[#This Row],[Player 2]],Week_72[Player],Week_72[Deck]))</f>
        <v/>
      </c>
    </row>
    <row r="49" spans="14:30" ht="14.25" customHeight="1" x14ac:dyDescent="0.3">
      <c r="N49" s="7"/>
      <c r="R49" s="9"/>
      <c r="S49" s="9"/>
      <c r="T49" s="9"/>
      <c r="U49" t="str" cm="1">
        <f t="array" ref="U4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49" t="str" cm="1">
        <f t="array" ref="AA49">IF(AND(V49&lt;&gt;"",W49=""),3,_xlfn.IFS(AND(X49="",Y49=""),"",X49&gt;Y49,3,X49&lt;Y49,0,X49=Y49,1))</f>
        <v/>
      </c>
      <c r="AB49" s="16" t="str">
        <f t="shared" si="0"/>
        <v/>
      </c>
      <c r="AC49" t="str">
        <f>IF(Week_72Games[[#This Row],[Player 2]]="","",_xlfn.XLOOKUP(Week_72Games[[#This Row],[Player 1]],Week_72[Player],Week_72[Deck]))</f>
        <v/>
      </c>
      <c r="AD49" t="str">
        <f>IF(Week_72Games[[#This Row],[Player 2]]="","",_xlfn.XLOOKUP(Week_72Games[[#This Row],[Player 2]],Week_72[Player],Week_72[Deck]))</f>
        <v/>
      </c>
    </row>
    <row r="50" spans="14:30" ht="14.25" customHeight="1" x14ac:dyDescent="0.3">
      <c r="N50" s="7"/>
      <c r="R50" s="9"/>
      <c r="S50" s="9"/>
      <c r="T50" s="9"/>
      <c r="U50" t="str" cm="1">
        <f t="array" ref="U5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0" t="str" cm="1">
        <f t="array" ref="AA50">IF(AND(V50&lt;&gt;"",W50=""),3,_xlfn.IFS(AND(X50="",Y50=""),"",X50&gt;Y50,3,X50&lt;Y50,0,X50=Y50,1))</f>
        <v/>
      </c>
      <c r="AB50" s="16" t="str">
        <f t="shared" si="0"/>
        <v/>
      </c>
      <c r="AC50" t="str">
        <f>IF(Week_72Games[[#This Row],[Player 2]]="","",_xlfn.XLOOKUP(Week_72Games[[#This Row],[Player 1]],Week_72[Player],Week_72[Deck]))</f>
        <v/>
      </c>
      <c r="AD50" t="str">
        <f>IF(Week_72Games[[#This Row],[Player 2]]="","",_xlfn.XLOOKUP(Week_72Games[[#This Row],[Player 2]],Week_72[Player],Week_72[Deck]))</f>
        <v/>
      </c>
    </row>
    <row r="51" spans="14:30" ht="14.25" customHeight="1" x14ac:dyDescent="0.3">
      <c r="N51" s="7"/>
      <c r="R51" s="9"/>
      <c r="S51" s="9"/>
      <c r="T51" s="9"/>
      <c r="U51" t="str" cm="1">
        <f t="array" ref="U5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1" t="str" cm="1">
        <f t="array" ref="AA51">IF(AND(V51&lt;&gt;"",W51=""),3,_xlfn.IFS(AND(X51="",Y51=""),"",X51&gt;Y51,3,X51&lt;Y51,0,X51=Y51,1))</f>
        <v/>
      </c>
      <c r="AB51" s="16" t="str">
        <f t="shared" si="0"/>
        <v/>
      </c>
      <c r="AC51" t="str">
        <f>IF(Week_72Games[[#This Row],[Player 2]]="","",_xlfn.XLOOKUP(Week_72Games[[#This Row],[Player 1]],Week_72[Player],Week_72[Deck]))</f>
        <v/>
      </c>
      <c r="AD51" t="str">
        <f>IF(Week_72Games[[#This Row],[Player 2]]="","",_xlfn.XLOOKUP(Week_72Games[[#This Row],[Player 2]],Week_72[Player],Week_72[Deck]))</f>
        <v/>
      </c>
    </row>
    <row r="52" spans="14:30" ht="14.25" customHeight="1" x14ac:dyDescent="0.3">
      <c r="N52" s="7"/>
      <c r="R52" s="9"/>
      <c r="S52" s="9"/>
      <c r="T52" s="9"/>
      <c r="U52" t="str" cm="1">
        <f t="array" ref="U5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2" t="str" cm="1">
        <f t="array" ref="AA52">IF(AND(V52&lt;&gt;"",W52=""),3,_xlfn.IFS(AND(X52="",Y52=""),"",X52&gt;Y52,3,X52&lt;Y52,0,X52=Y52,1))</f>
        <v/>
      </c>
      <c r="AB52" s="16" t="str">
        <f t="shared" si="0"/>
        <v/>
      </c>
      <c r="AC52" t="str">
        <f>IF(Week_72Games[[#This Row],[Player 2]]="","",_xlfn.XLOOKUP(Week_72Games[[#This Row],[Player 1]],Week_72[Player],Week_72[Deck]))</f>
        <v/>
      </c>
      <c r="AD52" t="str">
        <f>IF(Week_72Games[[#This Row],[Player 2]]="","",_xlfn.XLOOKUP(Week_72Games[[#This Row],[Player 2]],Week_72[Player],Week_72[Deck]))</f>
        <v/>
      </c>
    </row>
    <row r="53" spans="14:30" ht="14.25" customHeight="1" x14ac:dyDescent="0.3">
      <c r="N53" s="7"/>
      <c r="R53" s="9"/>
      <c r="S53" s="9"/>
      <c r="T53" s="9"/>
      <c r="U53" t="str" cm="1">
        <f t="array" ref="U5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3" t="str" cm="1">
        <f t="array" ref="AA53">IF(AND(V53&lt;&gt;"",W53=""),3,_xlfn.IFS(AND(X53="",Y53=""),"",X53&gt;Y53,3,X53&lt;Y53,0,X53=Y53,1))</f>
        <v/>
      </c>
      <c r="AB53" s="16" t="str">
        <f t="shared" si="0"/>
        <v/>
      </c>
      <c r="AC53" t="str">
        <f>IF(Week_72Games[[#This Row],[Player 2]]="","",_xlfn.XLOOKUP(Week_72Games[[#This Row],[Player 1]],Week_72[Player],Week_72[Deck]))</f>
        <v/>
      </c>
      <c r="AD53" t="str">
        <f>IF(Week_72Games[[#This Row],[Player 2]]="","",_xlfn.XLOOKUP(Week_72Games[[#This Row],[Player 2]],Week_72[Player],Week_72[Deck]))</f>
        <v/>
      </c>
    </row>
    <row r="54" spans="14:30" ht="14.25" customHeight="1" x14ac:dyDescent="0.3">
      <c r="N54" s="7"/>
      <c r="R54" s="9"/>
      <c r="S54" s="9"/>
      <c r="T54" s="9"/>
      <c r="U54" t="str" cm="1">
        <f t="array" ref="U5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4" t="str" cm="1">
        <f t="array" ref="AA54">IF(AND(V54&lt;&gt;"",W54=""),3,_xlfn.IFS(AND(X54="",Y54=""),"",X54&gt;Y54,3,X54&lt;Y54,0,X54=Y54,1))</f>
        <v/>
      </c>
      <c r="AB54" s="16" t="str">
        <f t="shared" si="0"/>
        <v/>
      </c>
      <c r="AC54" t="str">
        <f>IF(Week_72Games[[#This Row],[Player 2]]="","",_xlfn.XLOOKUP(Week_72Games[[#This Row],[Player 1]],Week_72[Player],Week_72[Deck]))</f>
        <v/>
      </c>
      <c r="AD54" t="str">
        <f>IF(Week_72Games[[#This Row],[Player 2]]="","",_xlfn.XLOOKUP(Week_72Games[[#This Row],[Player 2]],Week_72[Player],Week_72[Deck]))</f>
        <v/>
      </c>
    </row>
    <row r="55" spans="14:30" ht="14.25" customHeight="1" x14ac:dyDescent="0.3">
      <c r="N55" s="7"/>
      <c r="R55" s="9"/>
      <c r="S55" s="9"/>
      <c r="T55" s="9"/>
      <c r="U55" t="str" cm="1">
        <f t="array" ref="U5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5" t="str" cm="1">
        <f t="array" ref="AA55">IF(AND(V55&lt;&gt;"",W55=""),3,_xlfn.IFS(AND(X55="",Y55=""),"",X55&gt;Y55,3,X55&lt;Y55,0,X55=Y55,1))</f>
        <v/>
      </c>
      <c r="AB55" s="16" t="str">
        <f t="shared" si="0"/>
        <v/>
      </c>
      <c r="AC55" t="str">
        <f>IF(Week_72Games[[#This Row],[Player 2]]="","",_xlfn.XLOOKUP(Week_72Games[[#This Row],[Player 1]],Week_72[Player],Week_72[Deck]))</f>
        <v/>
      </c>
      <c r="AD55" t="str">
        <f>IF(Week_72Games[[#This Row],[Player 2]]="","",_xlfn.XLOOKUP(Week_72Games[[#This Row],[Player 2]],Week_72[Player],Week_72[Deck]))</f>
        <v/>
      </c>
    </row>
    <row r="56" spans="14:30" ht="14.25" customHeight="1" x14ac:dyDescent="0.3">
      <c r="N56" s="7"/>
      <c r="R56" s="9"/>
      <c r="S56" s="9"/>
      <c r="T56" s="9"/>
      <c r="U56" t="str" cm="1">
        <f t="array" ref="U5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6" t="str" cm="1">
        <f t="array" ref="AA56">IF(AND(V56&lt;&gt;"",W56=""),3,_xlfn.IFS(AND(X56="",Y56=""),"",X56&gt;Y56,3,X56&lt;Y56,0,X56=Y56,1))</f>
        <v/>
      </c>
      <c r="AB56" s="16" t="str">
        <f t="shared" si="0"/>
        <v/>
      </c>
      <c r="AC56" t="str">
        <f>IF(Week_72Games[[#This Row],[Player 2]]="","",_xlfn.XLOOKUP(Week_72Games[[#This Row],[Player 1]],Week_72[Player],Week_72[Deck]))</f>
        <v/>
      </c>
      <c r="AD56" t="str">
        <f>IF(Week_72Games[[#This Row],[Player 2]]="","",_xlfn.XLOOKUP(Week_72Games[[#This Row],[Player 2]],Week_72[Player],Week_72[Deck]))</f>
        <v/>
      </c>
    </row>
    <row r="57" spans="14:30" ht="14.25" customHeight="1" x14ac:dyDescent="0.3">
      <c r="N57" s="7"/>
      <c r="R57" s="9"/>
      <c r="S57" s="9"/>
      <c r="T57" s="9"/>
      <c r="U57" t="str" cm="1">
        <f t="array" ref="U5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7" t="str" cm="1">
        <f t="array" ref="AA57">IF(AND(V57&lt;&gt;"",W57=""),3,_xlfn.IFS(AND(X57="",Y57=""),"",X57&gt;Y57,3,X57&lt;Y57,0,X57=Y57,1))</f>
        <v/>
      </c>
      <c r="AB57" s="16" t="str">
        <f t="shared" si="0"/>
        <v/>
      </c>
      <c r="AC57" t="str">
        <f>IF(Week_72Games[[#This Row],[Player 2]]="","",_xlfn.XLOOKUP(Week_72Games[[#This Row],[Player 1]],Week_72[Player],Week_72[Deck]))</f>
        <v/>
      </c>
      <c r="AD57" t="str">
        <f>IF(Week_72Games[[#This Row],[Player 2]]="","",_xlfn.XLOOKUP(Week_72Games[[#This Row],[Player 2]],Week_72[Player],Week_72[Deck]))</f>
        <v/>
      </c>
    </row>
    <row r="58" spans="14:30" ht="14.25" customHeight="1" x14ac:dyDescent="0.3">
      <c r="N58" s="7"/>
      <c r="R58" s="9"/>
      <c r="S58" s="9"/>
      <c r="T58" s="9"/>
      <c r="U58" t="str" cm="1">
        <f t="array" ref="U5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8" t="str" cm="1">
        <f t="array" ref="AA58">IF(AND(V58&lt;&gt;"",W58=""),3,_xlfn.IFS(AND(X58="",Y58=""),"",X58&gt;Y58,3,X58&lt;Y58,0,X58=Y58,1))</f>
        <v/>
      </c>
      <c r="AB58" s="16" t="str">
        <f t="shared" si="0"/>
        <v/>
      </c>
      <c r="AC58" t="str">
        <f>IF(Week_72Games[[#This Row],[Player 2]]="","",_xlfn.XLOOKUP(Week_72Games[[#This Row],[Player 1]],Week_72[Player],Week_72[Deck]))</f>
        <v/>
      </c>
      <c r="AD58" t="str">
        <f>IF(Week_72Games[[#This Row],[Player 2]]="","",_xlfn.XLOOKUP(Week_72Games[[#This Row],[Player 2]],Week_72[Player],Week_72[Deck]))</f>
        <v/>
      </c>
    </row>
    <row r="59" spans="14:30" ht="14.25" customHeight="1" x14ac:dyDescent="0.3">
      <c r="N59" s="7"/>
      <c r="R59" s="9"/>
      <c r="S59" s="9"/>
      <c r="T59" s="9"/>
      <c r="U59" t="str" cm="1">
        <f t="array" ref="U59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59" t="str" cm="1">
        <f t="array" ref="AA59">IF(AND(V59&lt;&gt;"",W59=""),3,_xlfn.IFS(AND(X59="",Y59=""),"",X59&gt;Y59,3,X59&lt;Y59,0,X59=Y59,1))</f>
        <v/>
      </c>
      <c r="AB59" s="16" t="str">
        <f t="shared" si="0"/>
        <v/>
      </c>
      <c r="AC59" t="str">
        <f>IF(Week_72Games[[#This Row],[Player 2]]="","",_xlfn.XLOOKUP(Week_72Games[[#This Row],[Player 1]],Week_72[Player],Week_72[Deck]))</f>
        <v/>
      </c>
      <c r="AD59" t="str">
        <f>IF(Week_72Games[[#This Row],[Player 2]]="","",_xlfn.XLOOKUP(Week_72Games[[#This Row],[Player 2]],Week_72[Player],Week_72[Deck]))</f>
        <v/>
      </c>
    </row>
    <row r="60" spans="14:30" ht="14.25" customHeight="1" x14ac:dyDescent="0.3">
      <c r="N60" s="7"/>
      <c r="R60" s="9"/>
      <c r="S60" s="9"/>
      <c r="T60" s="9"/>
      <c r="U60" t="str" cm="1">
        <f t="array" ref="U60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0" t="str" cm="1">
        <f t="array" ref="AA60">IF(AND(V60&lt;&gt;"",W60=""),3,_xlfn.IFS(AND(X60="",Y60=""),"",X60&gt;Y60,3,X60&lt;Y60,0,X60=Y60,1))</f>
        <v/>
      </c>
      <c r="AB60" s="16" t="str">
        <f t="shared" si="0"/>
        <v/>
      </c>
      <c r="AC60" t="str">
        <f>IF(Week_72Games[[#This Row],[Player 2]]="","",_xlfn.XLOOKUP(Week_72Games[[#This Row],[Player 1]],Week_72[Player],Week_72[Deck]))</f>
        <v/>
      </c>
      <c r="AD60" t="str">
        <f>IF(Week_72Games[[#This Row],[Player 2]]="","",_xlfn.XLOOKUP(Week_72Games[[#This Row],[Player 2]],Week_72[Player],Week_72[Deck]))</f>
        <v/>
      </c>
    </row>
    <row r="61" spans="14:30" ht="14.25" customHeight="1" x14ac:dyDescent="0.3">
      <c r="N61" s="7"/>
      <c r="R61" s="9"/>
      <c r="S61" s="9"/>
      <c r="T61" s="9"/>
      <c r="U61" t="str" cm="1">
        <f t="array" ref="U61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1" t="str" cm="1">
        <f t="array" ref="AA61">IF(AND(V61&lt;&gt;"",W61=""),3,_xlfn.IFS(AND(X61="",Y61=""),"",X61&gt;Y61,3,X61&lt;Y61,0,X61=Y61,1))</f>
        <v/>
      </c>
      <c r="AB61" s="16" t="str">
        <f t="shared" si="0"/>
        <v/>
      </c>
      <c r="AC61" t="str">
        <f>IF(Week_72Games[[#This Row],[Player 2]]="","",_xlfn.XLOOKUP(Week_72Games[[#This Row],[Player 1]],Week_72[Player],Week_72[Deck]))</f>
        <v/>
      </c>
      <c r="AD61" t="str">
        <f>IF(Week_72Games[[#This Row],[Player 2]]="","",_xlfn.XLOOKUP(Week_72Games[[#This Row],[Player 2]],Week_72[Player],Week_72[Deck]))</f>
        <v/>
      </c>
    </row>
    <row r="62" spans="14:30" ht="14.25" customHeight="1" x14ac:dyDescent="0.3">
      <c r="N62" s="7"/>
      <c r="R62" s="9"/>
      <c r="S62" s="9"/>
      <c r="T62" s="9"/>
      <c r="U62" t="str" cm="1">
        <f t="array" ref="U62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2" t="str" cm="1">
        <f t="array" ref="AA62">IF(AND(V62&lt;&gt;"",W62=""),3,_xlfn.IFS(AND(X62="",Y62=""),"",X62&gt;Y62,3,X62&lt;Y62,0,X62=Y62,1))</f>
        <v/>
      </c>
      <c r="AB62" s="16" t="str">
        <f t="shared" si="0"/>
        <v/>
      </c>
      <c r="AC62" t="str">
        <f>IF(Week_72Games[[#This Row],[Player 2]]="","",_xlfn.XLOOKUP(Week_72Games[[#This Row],[Player 1]],Week_72[Player],Week_72[Deck]))</f>
        <v/>
      </c>
      <c r="AD62" t="str">
        <f>IF(Week_72Games[[#This Row],[Player 2]]="","",_xlfn.XLOOKUP(Week_72Games[[#This Row],[Player 2]],Week_72[Player],Week_72[Deck]))</f>
        <v/>
      </c>
    </row>
    <row r="63" spans="14:30" ht="14.25" customHeight="1" x14ac:dyDescent="0.3">
      <c r="N63" s="7"/>
      <c r="R63" s="9"/>
      <c r="S63" s="9"/>
      <c r="T63" s="9"/>
      <c r="U63" t="str" cm="1">
        <f t="array" ref="U63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3" t="str" cm="1">
        <f t="array" ref="AA63">IF(AND(V63&lt;&gt;"",W63=""),3,_xlfn.IFS(AND(X63="",Y63=""),"",X63&gt;Y63,3,X63&lt;Y63,0,X63=Y63,1))</f>
        <v/>
      </c>
      <c r="AB63" s="16" t="str">
        <f t="shared" si="0"/>
        <v/>
      </c>
      <c r="AC63" t="str">
        <f>IF(Week_72Games[[#This Row],[Player 2]]="","",_xlfn.XLOOKUP(Week_72Games[[#This Row],[Player 1]],Week_72[Player],Week_72[Deck]))</f>
        <v/>
      </c>
      <c r="AD63" t="str">
        <f>IF(Week_72Games[[#This Row],[Player 2]]="","",_xlfn.XLOOKUP(Week_72Games[[#This Row],[Player 2]],Week_72[Player],Week_72[Deck]))</f>
        <v/>
      </c>
    </row>
    <row r="64" spans="14:30" ht="14.25" customHeight="1" x14ac:dyDescent="0.3">
      <c r="N64" s="7"/>
      <c r="R64" s="9"/>
      <c r="S64" s="9"/>
      <c r="T64" s="9"/>
      <c r="U64" t="str" cm="1">
        <f t="array" ref="U64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4" t="str" cm="1">
        <f t="array" ref="AA64">IF(AND(V64&lt;&gt;"",W64=""),3,_xlfn.IFS(AND(X64="",Y64=""),"",X64&gt;Y64,3,X64&lt;Y64,0,X64=Y64,1))</f>
        <v/>
      </c>
      <c r="AB64" s="16" t="str">
        <f t="shared" si="0"/>
        <v/>
      </c>
      <c r="AC64" t="str">
        <f>IF(Week_72Games[[#This Row],[Player 2]]="","",_xlfn.XLOOKUP(Week_72Games[[#This Row],[Player 1]],Week_72[Player],Week_72[Deck]))</f>
        <v/>
      </c>
      <c r="AD64" t="str">
        <f>IF(Week_72Games[[#This Row],[Player 2]]="","",_xlfn.XLOOKUP(Week_72Games[[#This Row],[Player 2]],Week_72[Player],Week_72[Deck]))</f>
        <v/>
      </c>
    </row>
    <row r="65" spans="14:30" ht="14.25" customHeight="1" x14ac:dyDescent="0.3">
      <c r="N65" s="7"/>
      <c r="R65" s="9"/>
      <c r="S65" s="9"/>
      <c r="T65" s="9"/>
      <c r="U65" t="str" cm="1">
        <f t="array" ref="U65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5" t="str" cm="1">
        <f t="array" ref="AA65">IF(AND(V65&lt;&gt;"",W65=""),3,_xlfn.IFS(AND(X65="",Y65=""),"",X65&gt;Y65,3,X65&lt;Y65,0,X65=Y65,1))</f>
        <v/>
      </c>
      <c r="AB65" s="16" t="str">
        <f t="shared" si="0"/>
        <v/>
      </c>
      <c r="AC65" t="str">
        <f>IF(Week_72Games[[#This Row],[Player 2]]="","",_xlfn.XLOOKUP(Week_72Games[[#This Row],[Player 1]],Week_72[Player],Week_72[Deck]))</f>
        <v/>
      </c>
      <c r="AD65" t="str">
        <f>IF(Week_72Games[[#This Row],[Player 2]]="","",_xlfn.XLOOKUP(Week_72Games[[#This Row],[Player 2]],Week_72[Player],Week_72[Deck]))</f>
        <v/>
      </c>
    </row>
    <row r="66" spans="14:30" ht="14.25" customHeight="1" x14ac:dyDescent="0.3">
      <c r="N66" s="7"/>
      <c r="R66" s="9"/>
      <c r="S66" s="9"/>
      <c r="T66" s="9"/>
      <c r="U66" t="str" cm="1">
        <f t="array" ref="U66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6" t="str" cm="1">
        <f t="array" ref="AA66">IF(AND(V66&lt;&gt;"",W66=""),3,_xlfn.IFS(AND(X66="",Y66=""),"",X66&gt;Y66,3,X66&lt;Y66,0,X66=Y66,1))</f>
        <v/>
      </c>
      <c r="AB66" s="16" t="str">
        <f t="shared" ref="AB66:AB68" si="1">IF(W66="", "", IF(X66=Y66, 1, IF(X66&lt;Y66, 3, IF(X66&gt;Y66, 0, ""))))</f>
        <v/>
      </c>
      <c r="AC66" t="str">
        <f>IF(Week_72Games[[#This Row],[Player 2]]="","",_xlfn.XLOOKUP(Week_72Games[[#This Row],[Player 1]],Week_72[Player],Week_72[Deck]))</f>
        <v/>
      </c>
      <c r="AD66" t="str">
        <f>IF(Week_72Games[[#This Row],[Player 2]]="","",_xlfn.XLOOKUP(Week_72Games[[#This Row],[Player 2]],Week_72[Player],Week_72[Deck]))</f>
        <v/>
      </c>
    </row>
    <row r="67" spans="14:30" ht="14.25" customHeight="1" x14ac:dyDescent="0.3">
      <c r="N67" s="7"/>
      <c r="R67" s="9"/>
      <c r="S67" s="9"/>
      <c r="T67" s="9"/>
      <c r="U67" t="str" cm="1">
        <f t="array" ref="U67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AA67" t="str" cm="1">
        <f t="array" ref="AA67">IF(AND(V67&lt;&gt;"",W67=""),3,_xlfn.IFS(AND(X67="",Y67=""),"",X67&gt;Y67,3,X67&lt;Y67,0,X67=Y67,1))</f>
        <v/>
      </c>
      <c r="AB67" s="16" t="str">
        <f t="shared" si="1"/>
        <v/>
      </c>
      <c r="AC67" t="str">
        <f>IF(Week_72Games[[#This Row],[Player 2]]="","",_xlfn.XLOOKUP(Week_72Games[[#This Row],[Player 1]],Week_72[Player],Week_72[Deck]))</f>
        <v/>
      </c>
      <c r="AD67" t="str">
        <f>IF(Week_72Games[[#This Row],[Player 2]]="","",_xlfn.XLOOKUP(Week_72Games[[#This Row],[Player 2]],Week_72[Player],Week_72[Deck]))</f>
        <v/>
      </c>
    </row>
    <row r="68" spans="14:30" ht="14.25" customHeight="1" x14ac:dyDescent="0.3">
      <c r="N68" s="7"/>
      <c r="R68" s="9"/>
      <c r="S68" s="9"/>
      <c r="T68" s="9"/>
      <c r="U68" s="24" t="str" cm="1">
        <f t="array" ref="U68">_xlfn.LET(
    _xlpm.TotalPlayers, S$2,
    _xlpm.MaxRounds, MIN(CEILING(LOG(_xlpm.TotalPlayers, 2), 1),4),
    _xlpm.TablesNeeded, _xlfn.CEILING.MATH(_xlpm.TotalPlayers/2),
    _xlpm.RowsPerRound, _xlpm.TablesNeeded + 1,
    _xlpm.CurrentRound, _xlfn.CEILING.MATH(ROW()/_xlpm.RowsPerRound),
    _xlpm.RowInRound, MOD(ROW()-1, _xlpm.RowsPerRound),
    IF(_xlpm.CurrentRound &gt; _xlpm.MaxRounds, "",
       IF(_xlpm.RowInRound = 0,
          "Round " &amp; _xlpm.CurrentRound,
          "Table " &amp; _xlpm.RowInRound
       )
    )
)</f>
        <v/>
      </c>
      <c r="V68" s="24"/>
      <c r="W68" s="24"/>
      <c r="X68" s="24"/>
      <c r="Y68" s="24"/>
      <c r="Z68" s="24"/>
      <c r="AA68" t="str" cm="1">
        <f t="array" ref="AA68">IF(AND(V68&lt;&gt;"",W68=""),3,_xlfn.IFS(AND(X68="",Y68=""),"",X68&gt;Y68,3,X68&lt;Y68,0,X68=Y68,1))</f>
        <v/>
      </c>
      <c r="AB68" s="25" t="str">
        <f t="shared" si="1"/>
        <v/>
      </c>
      <c r="AC68" t="str">
        <f>IF(Week_72Games[[#This Row],[Player 2]]="","",_xlfn.XLOOKUP(Week_72Games[[#This Row],[Player 1]],Week_72[Player],Week_72[Deck]))</f>
        <v/>
      </c>
      <c r="AD68" t="str">
        <f>IF(Week_72Games[[#This Row],[Player 2]]="","",_xlfn.XLOOKUP(Week_72Games[[#This Row],[Player 2]],Week_72[Player],Week_72[Deck]))</f>
        <v/>
      </c>
    </row>
  </sheetData>
  <conditionalFormatting sqref="C1:C1048576">
    <cfRule type="cellIs" priority="2" stopIfTrue="1" operator="equal">
      <formula>-1</formula>
    </cfRule>
    <cfRule type="colorScale" priority="3">
      <colorScale>
        <cfvo type="min"/>
        <cfvo type="percent" val="50"/>
        <cfvo type="max"/>
        <color rgb="FFF8696B"/>
        <color rgb="FFFFEB84"/>
        <color rgb="FF63BE7B"/>
      </colorScale>
    </cfRule>
  </conditionalFormatting>
  <conditionalFormatting sqref="U1:AD68">
    <cfRule type="expression" dxfId="41" priority="1">
      <formula>LEFT($U1,5)="Round"</formula>
    </cfRule>
  </conditionalFormatting>
  <dataValidations count="3">
    <dataValidation type="list" allowBlank="1" showErrorMessage="1" sqref="V2:W68" xr:uid="{6D264E9B-91BC-4F56-9E6A-FD16DF7664C6}">
      <formula1>$A:$A</formula1>
    </dataValidation>
    <dataValidation type="list" allowBlank="1" showInputMessage="1" showErrorMessage="1" sqref="A2:A33" xr:uid="{49570B04-85E8-46AE-80A3-36DC1B2F1FB9}">
      <formula1>INDIRECT("mastername[name]")</formula1>
    </dataValidation>
    <dataValidation type="list" allowBlank="1" showErrorMessage="1" sqref="B2:B33" xr:uid="{65172391-9EBC-4A2D-BB26-53E3C5711593}">
      <formula1>INDIRECT("masterdeck[deck]")</formula1>
    </dataValidation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Data-Source</vt:lpstr>
      <vt:lpstr>Week71</vt:lpstr>
      <vt:lpstr>Week72</vt:lpstr>
      <vt:lpstr>ChartReqDeck</vt:lpstr>
      <vt:lpstr>ChartReqPlayer</vt:lpstr>
      <vt:lpstr>Entry</vt:lpstr>
      <vt:lpstr>EventCut</vt:lpstr>
      <vt:lpstr>SSBonus</vt:lpstr>
      <vt:lpstr>TotalWeeksMax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Christie</dc:creator>
  <cp:lastModifiedBy>Anders Christie</cp:lastModifiedBy>
  <dcterms:created xsi:type="dcterms:W3CDTF">2026-02-06T09:37:01Z</dcterms:created>
  <dcterms:modified xsi:type="dcterms:W3CDTF">2026-02-06T09:39:33Z</dcterms:modified>
</cp:coreProperties>
</file>